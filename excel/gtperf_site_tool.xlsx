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tool" sheetId="1" state="visible" r:id="rId1"/>
    <sheet xmlns:r="http://schemas.openxmlformats.org/officeDocument/2006/relationships" name="Tables" sheetId="2" state="visible" r:id="rId2"/>
    <sheet xmlns:r="http://schemas.openxmlformats.org/officeDocument/2006/relationships" name="Check" sheetId="3" state="visible" r:id="rId3"/>
    <sheet xmlns:r="http://schemas.openxmlformats.org/officeDocument/2006/relationships" name="About" sheetId="4" state="visible" r:id="rId4"/>
  </sheets>
  <definedNames>
    <definedName name="T_GRID">Tables!$A$2:$A$16</definedName>
    <definedName name="T_POWER">Tables!$B$2:$B$16</definedName>
    <definedName name="T_HEAT_RATE">Tables!$C$2:$C$16</definedName>
    <definedName name="T_EXHAUST_FLOW">Tables!$D$2:$D$16</definedName>
    <definedName name="T_EXHAUST_TEMP">Tables!$E$2:$E$16</definedName>
    <definedName name="RH_POWER">Tables!$F$2:$F$16</definedName>
    <definedName name="RH_HEAT_RATE">Tables!$G$2:$G$16</definedName>
    <definedName name="RH_EXHAUST_FLOW">Tables!$H$2:$H$16</definedName>
    <definedName name="RH_EXHAUST_TEMP">Tables!$I$2:$I$16</definedName>
    <definedName name="INLET_POWER">Tables!$J$2:$J$16</definedName>
    <definedName name="INLET_HEAT_RATE">Tables!$K$2:$K$16</definedName>
    <definedName name="INLET_EXHAUST_FLOW">Tables!$L$2:$L$16</definedName>
    <definedName name="INLET_EXHAUST_TEMP">Tables!$M$2:$M$16</definedName>
    <definedName name="EXHAUST_POWER">Tables!$N$2:$N$16</definedName>
    <definedName name="EXHAUST_HEAT_RATE">Tables!$O$2:$O$16</definedName>
    <definedName name="EXHAUST_EXHAUST_FLOW">Tables!$P$2:$P$16</definedName>
    <definedName name="EXHAUST_EXHAUST_TEMP">Tables!$Q$2:$Q$16</definedName>
    <definedName name="ISO_POWER_MW">Tables!$A$21</definedName>
    <definedName name="ISO_HEAT_RATE">Tables!$B$21</definedName>
    <definedName name="ISO_EXHAUST_FLOW">Tables!$C$21</definedName>
    <definedName name="ISO_EXHAUST_TEMP_C">Tables!$D$21</definedName>
    <definedName name="GTPERF_COMMAND">About!$A$25</definedName>
    <definedName name="DATASHEET_PATH">About!$A$27</definedName>
    <definedName name="_xlnm.Print_Area" localSheetId="0">'Site tool'!$B$1:$H$43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00"/>
    <numFmt numFmtId="165" formatCode="0.0"/>
    <numFmt numFmtId="166" formatCode="0.0000"/>
    <numFmt numFmtId="167" formatCode="0.000"/>
    <numFmt numFmtId="168" formatCode="#,##0.0"/>
    <numFmt numFmtId="169" formatCode="0.0 &quot;K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i val="1"/>
      <color rgb="0052514E"/>
    </font>
    <font>
      <name val="Calibri"/>
      <b val="1"/>
      <color rgb="000B0B0B"/>
    </font>
    <font>
      <name val="Calibri"/>
      <b val="1"/>
      <color rgb="000B0B0B"/>
      <sz val="14"/>
    </font>
    <font>
      <name val="Calibri"/>
      <color rgb="000B0B0B"/>
    </font>
    <font>
      <name val="Calibri"/>
      <color rgb="0052514E"/>
    </font>
    <font>
      <name val="Calibri"/>
      <b val="1"/>
      <color rgb="000B0B0B"/>
      <sz val="13"/>
    </font>
    <font>
      <name val="Consolas"/>
      <color rgb="000B0B0B"/>
    </font>
  </fonts>
  <fills count="4">
    <fill>
      <patternFill/>
    </fill>
    <fill>
      <patternFill patternType="gray125"/>
    </fill>
    <fill>
      <patternFill patternType="solid">
        <fgColor rgb="00184F95"/>
      </patternFill>
    </fill>
    <fill>
      <patternFill patternType="solid">
        <fgColor rgb="00DCEAFB"/>
      </patternFill>
    </fill>
  </fills>
  <borders count="2">
    <border>
      <left/>
      <right/>
      <top/>
      <bottom/>
      <diagonal/>
    </border>
    <border>
      <left style="thin">
        <color rgb="00E4E3DF"/>
      </left>
      <right style="thin">
        <color rgb="00E4E3DF"/>
      </right>
      <top style="thin">
        <color rgb="00E4E3DF"/>
      </top>
      <bottom style="thin">
        <color rgb="00E4E3D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49" fontId="0" fillId="3" borderId="1" applyAlignment="1" pivotButton="0" quotePrefix="0" xfId="0">
      <alignment horizontal="center" wrapText="1"/>
    </xf>
    <xf numFmtId="165" fontId="0" fillId="3" borderId="1" applyAlignment="1" pivotButton="0" quotePrefix="0" xfId="0">
      <alignment horizontal="right"/>
    </xf>
    <xf numFmtId="1" fontId="0" fillId="3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164" fontId="0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167" fontId="0" fillId="0" borderId="0" pivotButton="0" quotePrefix="0" xfId="0"/>
    <xf numFmtId="10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H4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9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B1" s="1" t="inlineStr">
        <is>
          <t>Site performance: SGT-400 13 MW (public datasheet)</t>
        </is>
      </c>
    </row>
    <row r="2">
      <c r="B2" s="2" t="inlineStr">
        <is>
          <t>Blue cells are inputs. Results use correction curves from the calibrated gtperf model; see the Check sheet for their error against the full model.</t>
        </is>
      </c>
    </row>
    <row r="4">
      <c r="B4" s="3" t="inlineStr">
        <is>
          <t>Case</t>
        </is>
      </c>
      <c r="C4" s="4" t="n"/>
      <c r="D4" s="4" t="n"/>
      <c r="E4" s="4" t="n"/>
      <c r="F4" s="4" t="n"/>
      <c r="G4" s="4" t="n"/>
      <c r="H4" s="4" t="n"/>
    </row>
    <row r="5">
      <c r="B5" s="5" t="inlineStr">
        <is>
          <t>Case name</t>
        </is>
      </c>
      <c r="C5" s="6" t="inlineStr"/>
      <c r="D5" s="7" t="inlineStr">
        <is>
          <t>ISO</t>
        </is>
      </c>
      <c r="E5" s="7" t="inlineStr">
        <is>
          <t>Temperate, sea level</t>
        </is>
      </c>
      <c r="F5" s="7" t="inlineStr">
        <is>
          <t>Hot desert</t>
        </is>
      </c>
      <c r="G5" s="7" t="inlineStr">
        <is>
          <t>Tropical coast</t>
        </is>
      </c>
      <c r="H5" s="7" t="inlineStr">
        <is>
          <t>Cold, elevated</t>
        </is>
      </c>
    </row>
    <row r="6">
      <c r="B6" s="3" t="inlineStr">
        <is>
          <t>Site conditions</t>
        </is>
      </c>
      <c r="C6" s="4" t="n"/>
      <c r="D6" s="4" t="n"/>
      <c r="E6" s="4" t="n"/>
      <c r="F6" s="4" t="n"/>
      <c r="G6" s="4" t="n"/>
      <c r="H6" s="4" t="n"/>
    </row>
    <row r="7">
      <c r="B7" s="5" t="inlineStr">
        <is>
          <t>Ambient temperature</t>
        </is>
      </c>
      <c r="C7" s="6" t="inlineStr">
        <is>
          <t>°C</t>
        </is>
      </c>
      <c r="D7" s="8" t="n">
        <v>15</v>
      </c>
      <c r="E7" s="8" t="n">
        <v>10</v>
      </c>
      <c r="F7" s="8" t="n">
        <v>45</v>
      </c>
      <c r="G7" s="8" t="n">
        <v>32</v>
      </c>
      <c r="H7" s="8" t="n">
        <v>-10</v>
      </c>
    </row>
    <row r="8">
      <c r="B8" s="5" t="inlineStr">
        <is>
          <t>Site altitude</t>
        </is>
      </c>
      <c r="C8" s="6" t="inlineStr">
        <is>
          <t>m</t>
        </is>
      </c>
      <c r="D8" s="9" t="n">
        <v>0</v>
      </c>
      <c r="E8" s="9" t="n">
        <v>30</v>
      </c>
      <c r="F8" s="9" t="n">
        <v>300</v>
      </c>
      <c r="G8" s="9" t="n">
        <v>10</v>
      </c>
      <c r="H8" s="9" t="n">
        <v>1500</v>
      </c>
    </row>
    <row r="9">
      <c r="B9" s="5" t="inlineStr">
        <is>
          <t>Relative humidity</t>
        </is>
      </c>
      <c r="C9" s="6" t="inlineStr">
        <is>
          <t>%</t>
        </is>
      </c>
      <c r="D9" s="9" t="n">
        <v>60</v>
      </c>
      <c r="E9" s="9" t="n">
        <v>80</v>
      </c>
      <c r="F9" s="9" t="n">
        <v>20</v>
      </c>
      <c r="G9" s="9" t="n">
        <v>85</v>
      </c>
      <c r="H9" s="9" t="n">
        <v>60</v>
      </c>
    </row>
    <row r="10">
      <c r="B10" s="5" t="inlineStr">
        <is>
          <t>Inlet pressure loss</t>
        </is>
      </c>
      <c r="C10" s="6" t="inlineStr">
        <is>
          <t>mbar</t>
        </is>
      </c>
      <c r="D10" s="8" t="n">
        <v>0</v>
      </c>
      <c r="E10" s="8" t="n">
        <v>8</v>
      </c>
      <c r="F10" s="8" t="n">
        <v>10</v>
      </c>
      <c r="G10" s="8" t="n">
        <v>8</v>
      </c>
      <c r="H10" s="8" t="n">
        <v>8</v>
      </c>
    </row>
    <row r="11">
      <c r="B11" s="5" t="inlineStr">
        <is>
          <t>Exhaust pressure loss</t>
        </is>
      </c>
      <c r="C11" s="6" t="inlineStr">
        <is>
          <t>mbar</t>
        </is>
      </c>
      <c r="D11" s="8" t="n">
        <v>0</v>
      </c>
      <c r="E11" s="8" t="n">
        <v>15</v>
      </c>
      <c r="F11" s="8" t="n">
        <v>25</v>
      </c>
      <c r="G11" s="8" t="n">
        <v>20</v>
      </c>
      <c r="H11" s="8" t="n">
        <v>15</v>
      </c>
    </row>
    <row r="12">
      <c r="B12" s="5" t="inlineStr">
        <is>
          <t>Degradation, output</t>
        </is>
      </c>
      <c r="C12" s="6" t="inlineStr">
        <is>
          <t>%</t>
        </is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2</v>
      </c>
    </row>
    <row r="13">
      <c r="B13" s="5" t="inlineStr">
        <is>
          <t>Degradation, heat rate</t>
        </is>
      </c>
      <c r="C13" s="6" t="inlineStr">
        <is>
          <t>%</t>
        </is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1</v>
      </c>
    </row>
    <row r="14">
      <c r="B14" s="3" t="inlineStr">
        <is>
          <t>Derived</t>
        </is>
      </c>
      <c r="C14" s="4" t="n"/>
      <c r="D14" s="4" t="n"/>
      <c r="E14" s="4" t="n"/>
      <c r="F14" s="4" t="n"/>
      <c r="G14" s="4" t="n"/>
      <c r="H14" s="4" t="n"/>
    </row>
    <row r="15">
      <c r="B15" s="5" t="inlineStr">
        <is>
          <t>Ambient pressure (ISA)</t>
        </is>
      </c>
      <c r="C15" s="6" t="inlineStr">
        <is>
          <t>mbar</t>
        </is>
      </c>
      <c r="D15" s="10">
        <f>1013.25*(1-2.25577E-5*D8)^5.25588</f>
        <v/>
      </c>
      <c r="E15" s="10">
        <f>1013.25*(1-2.25577E-5*E8)^5.25588</f>
        <v/>
      </c>
      <c r="F15" s="10">
        <f>1013.25*(1-2.25577E-5*F8)^5.25588</f>
        <v/>
      </c>
      <c r="G15" s="10">
        <f>1013.25*(1-2.25577E-5*G8)^5.25588</f>
        <v/>
      </c>
      <c r="H15" s="10">
        <f>1013.25*(1-2.25577E-5*H8)^5.25588</f>
        <v/>
      </c>
    </row>
    <row r="16">
      <c r="B16" s="5" t="inlineStr">
        <is>
          <t>Pressure ratio to ISO, delta</t>
        </is>
      </c>
      <c r="C16" s="6" t="inlineStr">
        <is>
          <t>-</t>
        </is>
      </c>
      <c r="D16" s="11">
        <f>D15/1013.25</f>
        <v/>
      </c>
      <c r="E16" s="11">
        <f>E15/1013.25</f>
        <v/>
      </c>
      <c r="F16" s="11">
        <f>F15/1013.25</f>
        <v/>
      </c>
      <c r="G16" s="11">
        <f>G15/1013.25</f>
        <v/>
      </c>
      <c r="H16" s="11">
        <f>H15/1013.25</f>
        <v/>
      </c>
    </row>
    <row r="17">
      <c r="B17" s="3" t="inlineStr">
        <is>
          <t>Correction factors (site = ISO x product)</t>
        </is>
      </c>
      <c r="C17" s="4" t="n"/>
      <c r="D17" s="4" t="n"/>
      <c r="E17" s="4" t="n"/>
      <c r="F17" s="4" t="n"/>
      <c r="G17" s="4" t="n"/>
      <c r="H17" s="4" t="n"/>
    </row>
    <row r="18">
      <c r="B18" s="5" t="inlineStr">
        <is>
          <t>Temperature, output</t>
        </is>
      </c>
      <c r="C18" s="6" t="inlineStr">
        <is>
          <t>-</t>
        </is>
      </c>
      <c r="D18" s="11">
        <f>FORECAST(D7,OFFSET(T_POWER,MIN(IFERROR(MATCH(D7,T_GRID,1),1),ROWS(T_GRID)-1)-1,0,2,1),OFFSET(T_GRID,MIN(IFERROR(MATCH(D7,T_GRID,1),1),ROWS(T_GRID)-1)-1,0,2,1))</f>
        <v/>
      </c>
      <c r="E18" s="11">
        <f>FORECAST(E7,OFFSET(T_POWER,MIN(IFERROR(MATCH(E7,T_GRID,1),1),ROWS(T_GRID)-1)-1,0,2,1),OFFSET(T_GRID,MIN(IFERROR(MATCH(E7,T_GRID,1),1),ROWS(T_GRID)-1)-1,0,2,1))</f>
        <v/>
      </c>
      <c r="F18" s="11">
        <f>FORECAST(F7,OFFSET(T_POWER,MIN(IFERROR(MATCH(F7,T_GRID,1),1),ROWS(T_GRID)-1)-1,0,2,1),OFFSET(T_GRID,MIN(IFERROR(MATCH(F7,T_GRID,1),1),ROWS(T_GRID)-1)-1,0,2,1))</f>
        <v/>
      </c>
      <c r="G18" s="11">
        <f>FORECAST(G7,OFFSET(T_POWER,MIN(IFERROR(MATCH(G7,T_GRID,1),1),ROWS(T_GRID)-1)-1,0,2,1),OFFSET(T_GRID,MIN(IFERROR(MATCH(G7,T_GRID,1),1),ROWS(T_GRID)-1)-1,0,2,1))</f>
        <v/>
      </c>
      <c r="H18" s="11">
        <f>FORECAST(H7,OFFSET(T_POWER,MIN(IFERROR(MATCH(H7,T_GRID,1),1),ROWS(T_GRID)-1)-1,0,2,1),OFFSET(T_GRID,MIN(IFERROR(MATCH(H7,T_GRID,1),1),ROWS(T_GRID)-1)-1,0,2,1))</f>
        <v/>
      </c>
    </row>
    <row r="19">
      <c r="B19" s="5" t="inlineStr">
        <is>
          <t>Altitude, output</t>
        </is>
      </c>
      <c r="C19" s="6" t="inlineStr">
        <is>
          <t>-</t>
        </is>
      </c>
      <c r="D19" s="11">
        <f>D16</f>
        <v/>
      </c>
      <c r="E19" s="11">
        <f>E16</f>
        <v/>
      </c>
      <c r="F19" s="11">
        <f>F16</f>
        <v/>
      </c>
      <c r="G19" s="11">
        <f>G16</f>
        <v/>
      </c>
      <c r="H19" s="11">
        <f>H16</f>
        <v/>
      </c>
    </row>
    <row r="20">
      <c r="B20" s="5" t="inlineStr">
        <is>
          <t>Humidity, output</t>
        </is>
      </c>
      <c r="C20" s="6" t="inlineStr">
        <is>
          <t>-</t>
        </is>
      </c>
      <c r="D20" s="11">
        <f>1+FORECAST(D7,OFFSET(RH_POWER,MIN(IFERROR(MATCH(D7,T_GRID,1),1),ROWS(T_GRID)-1)-1,0,2,1),OFFSET(T_GRID,MIN(IFERROR(MATCH(D7,T_GRID,1),1),ROWS(T_GRID)-1)-1,0,2,1))*(D9/100-0.6)</f>
        <v/>
      </c>
      <c r="E20" s="11">
        <f>1+FORECAST(E7,OFFSET(RH_POWER,MIN(IFERROR(MATCH(E7,T_GRID,1),1),ROWS(T_GRID)-1)-1,0,2,1),OFFSET(T_GRID,MIN(IFERROR(MATCH(E7,T_GRID,1),1),ROWS(T_GRID)-1)-1,0,2,1))*(E9/100-0.6)</f>
        <v/>
      </c>
      <c r="F20" s="11">
        <f>1+FORECAST(F7,OFFSET(RH_POWER,MIN(IFERROR(MATCH(F7,T_GRID,1),1),ROWS(T_GRID)-1)-1,0,2,1),OFFSET(T_GRID,MIN(IFERROR(MATCH(F7,T_GRID,1),1),ROWS(T_GRID)-1)-1,0,2,1))*(F9/100-0.6)</f>
        <v/>
      </c>
      <c r="G20" s="11">
        <f>1+FORECAST(G7,OFFSET(RH_POWER,MIN(IFERROR(MATCH(G7,T_GRID,1),1),ROWS(T_GRID)-1)-1,0,2,1),OFFSET(T_GRID,MIN(IFERROR(MATCH(G7,T_GRID,1),1),ROWS(T_GRID)-1)-1,0,2,1))*(G9/100-0.6)</f>
        <v/>
      </c>
      <c r="H20" s="11">
        <f>1+FORECAST(H7,OFFSET(RH_POWER,MIN(IFERROR(MATCH(H7,T_GRID,1),1),ROWS(T_GRID)-1)-1,0,2,1),OFFSET(T_GRID,MIN(IFERROR(MATCH(H7,T_GRID,1),1),ROWS(T_GRID)-1)-1,0,2,1))*(H9/100-0.6)</f>
        <v/>
      </c>
    </row>
    <row r="21">
      <c r="B21" s="5" t="inlineStr">
        <is>
          <t>Inlet loss, output</t>
        </is>
      </c>
      <c r="C21" s="6" t="inlineStr">
        <is>
          <t>-</t>
        </is>
      </c>
      <c r="D21" s="11">
        <f>1+FORECAST(D7,OFFSET(INLET_POWER,MIN(IFERROR(MATCH(D7,T_GRID,1),1),ROWS(T_GRID)-1)-1,0,2,1),OFFSET(T_GRID,MIN(IFERROR(MATCH(D7,T_GRID,1),1),ROWS(T_GRID)-1)-1,0,2,1))*D10/D16</f>
        <v/>
      </c>
      <c r="E21" s="11">
        <f>1+FORECAST(E7,OFFSET(INLET_POWER,MIN(IFERROR(MATCH(E7,T_GRID,1),1),ROWS(T_GRID)-1)-1,0,2,1),OFFSET(T_GRID,MIN(IFERROR(MATCH(E7,T_GRID,1),1),ROWS(T_GRID)-1)-1,0,2,1))*E10/E16</f>
        <v/>
      </c>
      <c r="F21" s="11">
        <f>1+FORECAST(F7,OFFSET(INLET_POWER,MIN(IFERROR(MATCH(F7,T_GRID,1),1),ROWS(T_GRID)-1)-1,0,2,1),OFFSET(T_GRID,MIN(IFERROR(MATCH(F7,T_GRID,1),1),ROWS(T_GRID)-1)-1,0,2,1))*F10/F16</f>
        <v/>
      </c>
      <c r="G21" s="11">
        <f>1+FORECAST(G7,OFFSET(INLET_POWER,MIN(IFERROR(MATCH(G7,T_GRID,1),1),ROWS(T_GRID)-1)-1,0,2,1),OFFSET(T_GRID,MIN(IFERROR(MATCH(G7,T_GRID,1),1),ROWS(T_GRID)-1)-1,0,2,1))*G10/G16</f>
        <v/>
      </c>
      <c r="H21" s="11">
        <f>1+FORECAST(H7,OFFSET(INLET_POWER,MIN(IFERROR(MATCH(H7,T_GRID,1),1),ROWS(T_GRID)-1)-1,0,2,1),OFFSET(T_GRID,MIN(IFERROR(MATCH(H7,T_GRID,1),1),ROWS(T_GRID)-1)-1,0,2,1))*H10/H16</f>
        <v/>
      </c>
    </row>
    <row r="22">
      <c r="B22" s="5" t="inlineStr">
        <is>
          <t>Exhaust loss, output</t>
        </is>
      </c>
      <c r="C22" s="6" t="inlineStr">
        <is>
          <t>-</t>
        </is>
      </c>
      <c r="D22" s="11">
        <f>1+FORECAST(D7,OFFSET(EXHAUST_POWER,MIN(IFERROR(MATCH(D7,T_GRID,1),1),ROWS(T_GRID)-1)-1,0,2,1),OFFSET(T_GRID,MIN(IFERROR(MATCH(D7,T_GRID,1),1),ROWS(T_GRID)-1)-1,0,2,1))*D11/D16</f>
        <v/>
      </c>
      <c r="E22" s="11">
        <f>1+FORECAST(E7,OFFSET(EXHAUST_POWER,MIN(IFERROR(MATCH(E7,T_GRID,1),1),ROWS(T_GRID)-1)-1,0,2,1),OFFSET(T_GRID,MIN(IFERROR(MATCH(E7,T_GRID,1),1),ROWS(T_GRID)-1)-1,0,2,1))*E11/E16</f>
        <v/>
      </c>
      <c r="F22" s="11">
        <f>1+FORECAST(F7,OFFSET(EXHAUST_POWER,MIN(IFERROR(MATCH(F7,T_GRID,1),1),ROWS(T_GRID)-1)-1,0,2,1),OFFSET(T_GRID,MIN(IFERROR(MATCH(F7,T_GRID,1),1),ROWS(T_GRID)-1)-1,0,2,1))*F11/F16</f>
        <v/>
      </c>
      <c r="G22" s="11">
        <f>1+FORECAST(G7,OFFSET(EXHAUST_POWER,MIN(IFERROR(MATCH(G7,T_GRID,1),1),ROWS(T_GRID)-1)-1,0,2,1),OFFSET(T_GRID,MIN(IFERROR(MATCH(G7,T_GRID,1),1),ROWS(T_GRID)-1)-1,0,2,1))*G11/G16</f>
        <v/>
      </c>
      <c r="H22" s="11">
        <f>1+FORECAST(H7,OFFSET(EXHAUST_POWER,MIN(IFERROR(MATCH(H7,T_GRID,1),1),ROWS(T_GRID)-1)-1,0,2,1),OFFSET(T_GRID,MIN(IFERROR(MATCH(H7,T_GRID,1),1),ROWS(T_GRID)-1)-1,0,2,1))*H11/H16</f>
        <v/>
      </c>
    </row>
    <row r="23">
      <c r="B23" s="5" t="inlineStr">
        <is>
          <t>Temperature, heat rate</t>
        </is>
      </c>
      <c r="C23" s="6" t="inlineStr">
        <is>
          <t>-</t>
        </is>
      </c>
      <c r="D23" s="11">
        <f>FORECAST(D7,OFFSET(T_HEAT_RATE,MIN(IFERROR(MATCH(D7,T_GRID,1),1),ROWS(T_GRID)-1)-1,0,2,1),OFFSET(T_GRID,MIN(IFERROR(MATCH(D7,T_GRID,1),1),ROWS(T_GRID)-1)-1,0,2,1))</f>
        <v/>
      </c>
      <c r="E23" s="11">
        <f>FORECAST(E7,OFFSET(T_HEAT_RATE,MIN(IFERROR(MATCH(E7,T_GRID,1),1),ROWS(T_GRID)-1)-1,0,2,1),OFFSET(T_GRID,MIN(IFERROR(MATCH(E7,T_GRID,1),1),ROWS(T_GRID)-1)-1,0,2,1))</f>
        <v/>
      </c>
      <c r="F23" s="11">
        <f>FORECAST(F7,OFFSET(T_HEAT_RATE,MIN(IFERROR(MATCH(F7,T_GRID,1),1),ROWS(T_GRID)-1)-1,0,2,1),OFFSET(T_GRID,MIN(IFERROR(MATCH(F7,T_GRID,1),1),ROWS(T_GRID)-1)-1,0,2,1))</f>
        <v/>
      </c>
      <c r="G23" s="11">
        <f>FORECAST(G7,OFFSET(T_HEAT_RATE,MIN(IFERROR(MATCH(G7,T_GRID,1),1),ROWS(T_GRID)-1)-1,0,2,1),OFFSET(T_GRID,MIN(IFERROR(MATCH(G7,T_GRID,1),1),ROWS(T_GRID)-1)-1,0,2,1))</f>
        <v/>
      </c>
      <c r="H23" s="11">
        <f>FORECAST(H7,OFFSET(T_HEAT_RATE,MIN(IFERROR(MATCH(H7,T_GRID,1),1),ROWS(T_GRID)-1)-1,0,2,1),OFFSET(T_GRID,MIN(IFERROR(MATCH(H7,T_GRID,1),1),ROWS(T_GRID)-1)-1,0,2,1))</f>
        <v/>
      </c>
    </row>
    <row r="24">
      <c r="B24" s="5" t="inlineStr">
        <is>
          <t>Altitude, heat rate</t>
        </is>
      </c>
      <c r="C24" s="6" t="inlineStr">
        <is>
          <t>-</t>
        </is>
      </c>
      <c r="D24" s="11">
        <f>1</f>
        <v/>
      </c>
      <c r="E24" s="11">
        <f>1</f>
        <v/>
      </c>
      <c r="F24" s="11">
        <f>1</f>
        <v/>
      </c>
      <c r="G24" s="11">
        <f>1</f>
        <v/>
      </c>
      <c r="H24" s="11">
        <f>1</f>
        <v/>
      </c>
    </row>
    <row r="25">
      <c r="B25" s="5" t="inlineStr">
        <is>
          <t>Humidity, heat rate</t>
        </is>
      </c>
      <c r="C25" s="6" t="inlineStr">
        <is>
          <t>-</t>
        </is>
      </c>
      <c r="D25" s="11">
        <f>1+FORECAST(D7,OFFSET(RH_HEAT_RATE,MIN(IFERROR(MATCH(D7,T_GRID,1),1),ROWS(T_GRID)-1)-1,0,2,1),OFFSET(T_GRID,MIN(IFERROR(MATCH(D7,T_GRID,1),1),ROWS(T_GRID)-1)-1,0,2,1))*(D9/100-0.6)</f>
        <v/>
      </c>
      <c r="E25" s="11">
        <f>1+FORECAST(E7,OFFSET(RH_HEAT_RATE,MIN(IFERROR(MATCH(E7,T_GRID,1),1),ROWS(T_GRID)-1)-1,0,2,1),OFFSET(T_GRID,MIN(IFERROR(MATCH(E7,T_GRID,1),1),ROWS(T_GRID)-1)-1,0,2,1))*(E9/100-0.6)</f>
        <v/>
      </c>
      <c r="F25" s="11">
        <f>1+FORECAST(F7,OFFSET(RH_HEAT_RATE,MIN(IFERROR(MATCH(F7,T_GRID,1),1),ROWS(T_GRID)-1)-1,0,2,1),OFFSET(T_GRID,MIN(IFERROR(MATCH(F7,T_GRID,1),1),ROWS(T_GRID)-1)-1,0,2,1))*(F9/100-0.6)</f>
        <v/>
      </c>
      <c r="G25" s="11">
        <f>1+FORECAST(G7,OFFSET(RH_HEAT_RATE,MIN(IFERROR(MATCH(G7,T_GRID,1),1),ROWS(T_GRID)-1)-1,0,2,1),OFFSET(T_GRID,MIN(IFERROR(MATCH(G7,T_GRID,1),1),ROWS(T_GRID)-1)-1,0,2,1))*(G9/100-0.6)</f>
        <v/>
      </c>
      <c r="H25" s="11">
        <f>1+FORECAST(H7,OFFSET(RH_HEAT_RATE,MIN(IFERROR(MATCH(H7,T_GRID,1),1),ROWS(T_GRID)-1)-1,0,2,1),OFFSET(T_GRID,MIN(IFERROR(MATCH(H7,T_GRID,1),1),ROWS(T_GRID)-1)-1,0,2,1))*(H9/100-0.6)</f>
        <v/>
      </c>
    </row>
    <row r="26">
      <c r="B26" s="5" t="inlineStr">
        <is>
          <t>Inlet loss, heat rate</t>
        </is>
      </c>
      <c r="C26" s="6" t="inlineStr">
        <is>
          <t>-</t>
        </is>
      </c>
      <c r="D26" s="11">
        <f>1+FORECAST(D7,OFFSET(INLET_HEAT_RATE,MIN(IFERROR(MATCH(D7,T_GRID,1),1),ROWS(T_GRID)-1)-1,0,2,1),OFFSET(T_GRID,MIN(IFERROR(MATCH(D7,T_GRID,1),1),ROWS(T_GRID)-1)-1,0,2,1))*D10/D16</f>
        <v/>
      </c>
      <c r="E26" s="11">
        <f>1+FORECAST(E7,OFFSET(INLET_HEAT_RATE,MIN(IFERROR(MATCH(E7,T_GRID,1),1),ROWS(T_GRID)-1)-1,0,2,1),OFFSET(T_GRID,MIN(IFERROR(MATCH(E7,T_GRID,1),1),ROWS(T_GRID)-1)-1,0,2,1))*E10/E16</f>
        <v/>
      </c>
      <c r="F26" s="11">
        <f>1+FORECAST(F7,OFFSET(INLET_HEAT_RATE,MIN(IFERROR(MATCH(F7,T_GRID,1),1),ROWS(T_GRID)-1)-1,0,2,1),OFFSET(T_GRID,MIN(IFERROR(MATCH(F7,T_GRID,1),1),ROWS(T_GRID)-1)-1,0,2,1))*F10/F16</f>
        <v/>
      </c>
      <c r="G26" s="11">
        <f>1+FORECAST(G7,OFFSET(INLET_HEAT_RATE,MIN(IFERROR(MATCH(G7,T_GRID,1),1),ROWS(T_GRID)-1)-1,0,2,1),OFFSET(T_GRID,MIN(IFERROR(MATCH(G7,T_GRID,1),1),ROWS(T_GRID)-1)-1,0,2,1))*G10/G16</f>
        <v/>
      </c>
      <c r="H26" s="11">
        <f>1+FORECAST(H7,OFFSET(INLET_HEAT_RATE,MIN(IFERROR(MATCH(H7,T_GRID,1),1),ROWS(T_GRID)-1)-1,0,2,1),OFFSET(T_GRID,MIN(IFERROR(MATCH(H7,T_GRID,1),1),ROWS(T_GRID)-1)-1,0,2,1))*H10/H16</f>
        <v/>
      </c>
    </row>
    <row r="27">
      <c r="B27" s="5" t="inlineStr">
        <is>
          <t>Exhaust loss, heat rate</t>
        </is>
      </c>
      <c r="C27" s="6" t="inlineStr">
        <is>
          <t>-</t>
        </is>
      </c>
      <c r="D27" s="11">
        <f>1+FORECAST(D7,OFFSET(EXHAUST_HEAT_RATE,MIN(IFERROR(MATCH(D7,T_GRID,1),1),ROWS(T_GRID)-1)-1,0,2,1),OFFSET(T_GRID,MIN(IFERROR(MATCH(D7,T_GRID,1),1),ROWS(T_GRID)-1)-1,0,2,1))*D11/D16</f>
        <v/>
      </c>
      <c r="E27" s="11">
        <f>1+FORECAST(E7,OFFSET(EXHAUST_HEAT_RATE,MIN(IFERROR(MATCH(E7,T_GRID,1),1),ROWS(T_GRID)-1)-1,0,2,1),OFFSET(T_GRID,MIN(IFERROR(MATCH(E7,T_GRID,1),1),ROWS(T_GRID)-1)-1,0,2,1))*E11/E16</f>
        <v/>
      </c>
      <c r="F27" s="11">
        <f>1+FORECAST(F7,OFFSET(EXHAUST_HEAT_RATE,MIN(IFERROR(MATCH(F7,T_GRID,1),1),ROWS(T_GRID)-1)-1,0,2,1),OFFSET(T_GRID,MIN(IFERROR(MATCH(F7,T_GRID,1),1),ROWS(T_GRID)-1)-1,0,2,1))*F11/F16</f>
        <v/>
      </c>
      <c r="G27" s="11">
        <f>1+FORECAST(G7,OFFSET(EXHAUST_HEAT_RATE,MIN(IFERROR(MATCH(G7,T_GRID,1),1),ROWS(T_GRID)-1)-1,0,2,1),OFFSET(T_GRID,MIN(IFERROR(MATCH(G7,T_GRID,1),1),ROWS(T_GRID)-1)-1,0,2,1))*G11/G16</f>
        <v/>
      </c>
      <c r="H27" s="11">
        <f>1+FORECAST(H7,OFFSET(EXHAUST_HEAT_RATE,MIN(IFERROR(MATCH(H7,T_GRID,1),1),ROWS(T_GRID)-1)-1,0,2,1),OFFSET(T_GRID,MIN(IFERROR(MATCH(H7,T_GRID,1),1),ROWS(T_GRID)-1)-1,0,2,1))*H11/H16</f>
        <v/>
      </c>
    </row>
    <row r="28">
      <c r="B28" s="5" t="inlineStr">
        <is>
          <t>Temperature, exhaust flow</t>
        </is>
      </c>
      <c r="C28" s="6" t="inlineStr">
        <is>
          <t>-</t>
        </is>
      </c>
      <c r="D28" s="11">
        <f>FORECAST(D7,OFFSET(T_EXHAUST_FLOW,MIN(IFERROR(MATCH(D7,T_GRID,1),1),ROWS(T_GRID)-1)-1,0,2,1),OFFSET(T_GRID,MIN(IFERROR(MATCH(D7,T_GRID,1),1),ROWS(T_GRID)-1)-1,0,2,1))</f>
        <v/>
      </c>
      <c r="E28" s="11">
        <f>FORECAST(E7,OFFSET(T_EXHAUST_FLOW,MIN(IFERROR(MATCH(E7,T_GRID,1),1),ROWS(T_GRID)-1)-1,0,2,1),OFFSET(T_GRID,MIN(IFERROR(MATCH(E7,T_GRID,1),1),ROWS(T_GRID)-1)-1,0,2,1))</f>
        <v/>
      </c>
      <c r="F28" s="11">
        <f>FORECAST(F7,OFFSET(T_EXHAUST_FLOW,MIN(IFERROR(MATCH(F7,T_GRID,1),1),ROWS(T_GRID)-1)-1,0,2,1),OFFSET(T_GRID,MIN(IFERROR(MATCH(F7,T_GRID,1),1),ROWS(T_GRID)-1)-1,0,2,1))</f>
        <v/>
      </c>
      <c r="G28" s="11">
        <f>FORECAST(G7,OFFSET(T_EXHAUST_FLOW,MIN(IFERROR(MATCH(G7,T_GRID,1),1),ROWS(T_GRID)-1)-1,0,2,1),OFFSET(T_GRID,MIN(IFERROR(MATCH(G7,T_GRID,1),1),ROWS(T_GRID)-1)-1,0,2,1))</f>
        <v/>
      </c>
      <c r="H28" s="11">
        <f>FORECAST(H7,OFFSET(T_EXHAUST_FLOW,MIN(IFERROR(MATCH(H7,T_GRID,1),1),ROWS(T_GRID)-1)-1,0,2,1),OFFSET(T_GRID,MIN(IFERROR(MATCH(H7,T_GRID,1),1),ROWS(T_GRID)-1)-1,0,2,1))</f>
        <v/>
      </c>
    </row>
    <row r="29">
      <c r="B29" s="5" t="inlineStr">
        <is>
          <t>Altitude, exhaust flow</t>
        </is>
      </c>
      <c r="C29" s="6" t="inlineStr">
        <is>
          <t>-</t>
        </is>
      </c>
      <c r="D29" s="11">
        <f>D16</f>
        <v/>
      </c>
      <c r="E29" s="11">
        <f>E16</f>
        <v/>
      </c>
      <c r="F29" s="11">
        <f>F16</f>
        <v/>
      </c>
      <c r="G29" s="11">
        <f>G16</f>
        <v/>
      </c>
      <c r="H29" s="11">
        <f>H16</f>
        <v/>
      </c>
    </row>
    <row r="30">
      <c r="B30" s="5" t="inlineStr">
        <is>
          <t>Humidity, exhaust flow</t>
        </is>
      </c>
      <c r="C30" s="6" t="inlineStr">
        <is>
          <t>-</t>
        </is>
      </c>
      <c r="D30" s="11">
        <f>1+FORECAST(D7,OFFSET(RH_EXHAUST_FLOW,MIN(IFERROR(MATCH(D7,T_GRID,1),1),ROWS(T_GRID)-1)-1,0,2,1),OFFSET(T_GRID,MIN(IFERROR(MATCH(D7,T_GRID,1),1),ROWS(T_GRID)-1)-1,0,2,1))*(D9/100-0.6)</f>
        <v/>
      </c>
      <c r="E30" s="11">
        <f>1+FORECAST(E7,OFFSET(RH_EXHAUST_FLOW,MIN(IFERROR(MATCH(E7,T_GRID,1),1),ROWS(T_GRID)-1)-1,0,2,1),OFFSET(T_GRID,MIN(IFERROR(MATCH(E7,T_GRID,1),1),ROWS(T_GRID)-1)-1,0,2,1))*(E9/100-0.6)</f>
        <v/>
      </c>
      <c r="F30" s="11">
        <f>1+FORECAST(F7,OFFSET(RH_EXHAUST_FLOW,MIN(IFERROR(MATCH(F7,T_GRID,1),1),ROWS(T_GRID)-1)-1,0,2,1),OFFSET(T_GRID,MIN(IFERROR(MATCH(F7,T_GRID,1),1),ROWS(T_GRID)-1)-1,0,2,1))*(F9/100-0.6)</f>
        <v/>
      </c>
      <c r="G30" s="11">
        <f>1+FORECAST(G7,OFFSET(RH_EXHAUST_FLOW,MIN(IFERROR(MATCH(G7,T_GRID,1),1),ROWS(T_GRID)-1)-1,0,2,1),OFFSET(T_GRID,MIN(IFERROR(MATCH(G7,T_GRID,1),1),ROWS(T_GRID)-1)-1,0,2,1))*(G9/100-0.6)</f>
        <v/>
      </c>
      <c r="H30" s="11">
        <f>1+FORECAST(H7,OFFSET(RH_EXHAUST_FLOW,MIN(IFERROR(MATCH(H7,T_GRID,1),1),ROWS(T_GRID)-1)-1,0,2,1),OFFSET(T_GRID,MIN(IFERROR(MATCH(H7,T_GRID,1),1),ROWS(T_GRID)-1)-1,0,2,1))*(H9/100-0.6)</f>
        <v/>
      </c>
    </row>
    <row r="31">
      <c r="B31" s="5" t="inlineStr">
        <is>
          <t>Inlet loss, exhaust flow</t>
        </is>
      </c>
      <c r="C31" s="6" t="inlineStr">
        <is>
          <t>-</t>
        </is>
      </c>
      <c r="D31" s="11">
        <f>1+FORECAST(D7,OFFSET(INLET_EXHAUST_FLOW,MIN(IFERROR(MATCH(D7,T_GRID,1),1),ROWS(T_GRID)-1)-1,0,2,1),OFFSET(T_GRID,MIN(IFERROR(MATCH(D7,T_GRID,1),1),ROWS(T_GRID)-1)-1,0,2,1))*D10/D16</f>
        <v/>
      </c>
      <c r="E31" s="11">
        <f>1+FORECAST(E7,OFFSET(INLET_EXHAUST_FLOW,MIN(IFERROR(MATCH(E7,T_GRID,1),1),ROWS(T_GRID)-1)-1,0,2,1),OFFSET(T_GRID,MIN(IFERROR(MATCH(E7,T_GRID,1),1),ROWS(T_GRID)-1)-1,0,2,1))*E10/E16</f>
        <v/>
      </c>
      <c r="F31" s="11">
        <f>1+FORECAST(F7,OFFSET(INLET_EXHAUST_FLOW,MIN(IFERROR(MATCH(F7,T_GRID,1),1),ROWS(T_GRID)-1)-1,0,2,1),OFFSET(T_GRID,MIN(IFERROR(MATCH(F7,T_GRID,1),1),ROWS(T_GRID)-1)-1,0,2,1))*F10/F16</f>
        <v/>
      </c>
      <c r="G31" s="11">
        <f>1+FORECAST(G7,OFFSET(INLET_EXHAUST_FLOW,MIN(IFERROR(MATCH(G7,T_GRID,1),1),ROWS(T_GRID)-1)-1,0,2,1),OFFSET(T_GRID,MIN(IFERROR(MATCH(G7,T_GRID,1),1),ROWS(T_GRID)-1)-1,0,2,1))*G10/G16</f>
        <v/>
      </c>
      <c r="H31" s="11">
        <f>1+FORECAST(H7,OFFSET(INLET_EXHAUST_FLOW,MIN(IFERROR(MATCH(H7,T_GRID,1),1),ROWS(T_GRID)-1)-1,0,2,1),OFFSET(T_GRID,MIN(IFERROR(MATCH(H7,T_GRID,1),1),ROWS(T_GRID)-1)-1,0,2,1))*H10/H16</f>
        <v/>
      </c>
    </row>
    <row r="32">
      <c r="B32" s="5" t="inlineStr">
        <is>
          <t>Exhaust loss, exhaust flow</t>
        </is>
      </c>
      <c r="C32" s="6" t="inlineStr">
        <is>
          <t>-</t>
        </is>
      </c>
      <c r="D32" s="11">
        <f>1+FORECAST(D7,OFFSET(EXHAUST_EXHAUST_FLOW,MIN(IFERROR(MATCH(D7,T_GRID,1),1),ROWS(T_GRID)-1)-1,0,2,1),OFFSET(T_GRID,MIN(IFERROR(MATCH(D7,T_GRID,1),1),ROWS(T_GRID)-1)-1,0,2,1))*D11/D16</f>
        <v/>
      </c>
      <c r="E32" s="11">
        <f>1+FORECAST(E7,OFFSET(EXHAUST_EXHAUST_FLOW,MIN(IFERROR(MATCH(E7,T_GRID,1),1),ROWS(T_GRID)-1)-1,0,2,1),OFFSET(T_GRID,MIN(IFERROR(MATCH(E7,T_GRID,1),1),ROWS(T_GRID)-1)-1,0,2,1))*E11/E16</f>
        <v/>
      </c>
      <c r="F32" s="11">
        <f>1+FORECAST(F7,OFFSET(EXHAUST_EXHAUST_FLOW,MIN(IFERROR(MATCH(F7,T_GRID,1),1),ROWS(T_GRID)-1)-1,0,2,1),OFFSET(T_GRID,MIN(IFERROR(MATCH(F7,T_GRID,1),1),ROWS(T_GRID)-1)-1,0,2,1))*F11/F16</f>
        <v/>
      </c>
      <c r="G32" s="11">
        <f>1+FORECAST(G7,OFFSET(EXHAUST_EXHAUST_FLOW,MIN(IFERROR(MATCH(G7,T_GRID,1),1),ROWS(T_GRID)-1)-1,0,2,1),OFFSET(T_GRID,MIN(IFERROR(MATCH(G7,T_GRID,1),1),ROWS(T_GRID)-1)-1,0,2,1))*G11/G16</f>
        <v/>
      </c>
      <c r="H32" s="11">
        <f>1+FORECAST(H7,OFFSET(EXHAUST_EXHAUST_FLOW,MIN(IFERROR(MATCH(H7,T_GRID,1),1),ROWS(T_GRID)-1)-1,0,2,1),OFFSET(T_GRID,MIN(IFERROR(MATCH(H7,T_GRID,1),1),ROWS(T_GRID)-1)-1,0,2,1))*H11/H16</f>
        <v/>
      </c>
    </row>
    <row r="33">
      <c r="B33" s="5" t="inlineStr">
        <is>
          <t>Degradation factor, output</t>
        </is>
      </c>
      <c r="C33" s="6" t="inlineStr">
        <is>
          <t>-</t>
        </is>
      </c>
      <c r="D33" s="11">
        <f>1-D12/100</f>
        <v/>
      </c>
      <c r="E33" s="11">
        <f>1-E12/100</f>
        <v/>
      </c>
      <c r="F33" s="11">
        <f>1-F12/100</f>
        <v/>
      </c>
      <c r="G33" s="11">
        <f>1-G12/100</f>
        <v/>
      </c>
      <c r="H33" s="11">
        <f>1-H12/100</f>
        <v/>
      </c>
    </row>
    <row r="34">
      <c r="B34" s="5" t="inlineStr">
        <is>
          <t>Degradation factor, heat rate</t>
        </is>
      </c>
      <c r="C34" s="6" t="inlineStr">
        <is>
          <t>-</t>
        </is>
      </c>
      <c r="D34" s="11">
        <f>1+D13/100</f>
        <v/>
      </c>
      <c r="E34" s="11">
        <f>1+E13/100</f>
        <v/>
      </c>
      <c r="F34" s="11">
        <f>1+F13/100</f>
        <v/>
      </c>
      <c r="G34" s="11">
        <f>1+G13/100</f>
        <v/>
      </c>
      <c r="H34" s="11">
        <f>1+H13/100</f>
        <v/>
      </c>
    </row>
    <row r="35">
      <c r="B35" s="3" t="inlineStr">
        <is>
          <t>Site performance</t>
        </is>
      </c>
      <c r="C35" s="4" t="n"/>
      <c r="D35" s="4" t="n"/>
      <c r="E35" s="4" t="n"/>
      <c r="F35" s="4" t="n"/>
      <c r="G35" s="4" t="n"/>
      <c r="H35" s="4" t="n"/>
    </row>
    <row r="36">
      <c r="B36" s="5" t="inlineStr">
        <is>
          <t>Electrical output</t>
        </is>
      </c>
      <c r="C36" s="6" t="inlineStr">
        <is>
          <t>MW</t>
        </is>
      </c>
      <c r="D36" s="12">
        <f>ISO_POWER_MW*D18*D19*D20*D21*D22*D33</f>
        <v/>
      </c>
      <c r="E36" s="12">
        <f>ISO_POWER_MW*E18*E19*E20*E21*E22*E33</f>
        <v/>
      </c>
      <c r="F36" s="12">
        <f>ISO_POWER_MW*F18*F19*F20*F21*F22*F33</f>
        <v/>
      </c>
      <c r="G36" s="12">
        <f>ISO_POWER_MW*G18*G19*G20*G21*G22*G33</f>
        <v/>
      </c>
      <c r="H36" s="12">
        <f>ISO_POWER_MW*H18*H19*H20*H21*H22*H33</f>
        <v/>
      </c>
    </row>
    <row r="37">
      <c r="B37" s="5" t="inlineStr">
        <is>
          <t>Heat rate (LHV)</t>
        </is>
      </c>
      <c r="C37" s="6" t="inlineStr">
        <is>
          <t>kJ/kWh</t>
        </is>
      </c>
      <c r="D37" s="13">
        <f>ISO_HEAT_RATE*D23*D24*D25*D26*D27*D34</f>
        <v/>
      </c>
      <c r="E37" s="13">
        <f>ISO_HEAT_RATE*E23*E24*E25*E26*E27*E34</f>
        <v/>
      </c>
      <c r="F37" s="13">
        <f>ISO_HEAT_RATE*F23*F24*F25*F26*F27*F34</f>
        <v/>
      </c>
      <c r="G37" s="13">
        <f>ISO_HEAT_RATE*G23*G24*G25*G26*G27*G34</f>
        <v/>
      </c>
      <c r="H37" s="13">
        <f>ISO_HEAT_RATE*H23*H24*H25*H26*H27*H34</f>
        <v/>
      </c>
    </row>
    <row r="38">
      <c r="B38" s="5" t="inlineStr">
        <is>
          <t>Thermal efficiency (LHV)</t>
        </is>
      </c>
      <c r="C38" s="6" t="inlineStr">
        <is>
          <t>%</t>
        </is>
      </c>
      <c r="D38" s="12">
        <f>360000/D37</f>
        <v/>
      </c>
      <c r="E38" s="12">
        <f>360000/E37</f>
        <v/>
      </c>
      <c r="F38" s="12">
        <f>360000/F37</f>
        <v/>
      </c>
      <c r="G38" s="12">
        <f>360000/G37</f>
        <v/>
      </c>
      <c r="H38" s="12">
        <f>360000/H37</f>
        <v/>
      </c>
    </row>
    <row r="39">
      <c r="B39" s="5" t="inlineStr">
        <is>
          <t>Fuel heat input (LHV)</t>
        </is>
      </c>
      <c r="C39" s="6" t="inlineStr">
        <is>
          <t>MW</t>
        </is>
      </c>
      <c r="D39" s="12">
        <f>D36*D37/3600</f>
        <v/>
      </c>
      <c r="E39" s="12">
        <f>E36*E37/3600</f>
        <v/>
      </c>
      <c r="F39" s="12">
        <f>F36*F37/3600</f>
        <v/>
      </c>
      <c r="G39" s="12">
        <f>G36*G37/3600</f>
        <v/>
      </c>
      <c r="H39" s="12">
        <f>H36*H37/3600</f>
        <v/>
      </c>
    </row>
    <row r="40">
      <c r="B40" s="5" t="inlineStr">
        <is>
          <t>Exhaust flow</t>
        </is>
      </c>
      <c r="C40" s="6" t="inlineStr">
        <is>
          <t>kg/s</t>
        </is>
      </c>
      <c r="D40" s="12">
        <f>ISO_EXHAUST_FLOW*D28*D29*D30*D31*D32</f>
        <v/>
      </c>
      <c r="E40" s="12">
        <f>ISO_EXHAUST_FLOW*E28*E29*E30*E31*E32</f>
        <v/>
      </c>
      <c r="F40" s="12">
        <f>ISO_EXHAUST_FLOW*F28*F29*F30*F31*F32</f>
        <v/>
      </c>
      <c r="G40" s="12">
        <f>ISO_EXHAUST_FLOW*G28*G29*G30*G31*G32</f>
        <v/>
      </c>
      <c r="H40" s="12">
        <f>ISO_EXHAUST_FLOW*H28*H29*H30*H31*H32</f>
        <v/>
      </c>
    </row>
    <row r="41">
      <c r="B41" s="5" t="inlineStr">
        <is>
          <t>Exhaust temperature</t>
        </is>
      </c>
      <c r="C41" s="6" t="inlineStr">
        <is>
          <t>°C</t>
        </is>
      </c>
      <c r="D41" s="10">
        <f>ISO_EXHAUST_TEMP_C+FORECAST(D7,OFFSET(T_EXHAUST_TEMP,MIN(IFERROR(MATCH(D7,T_GRID,1),1),ROWS(T_GRID)-1)-1,0,2,1),OFFSET(T_GRID,MIN(IFERROR(MATCH(D7,T_GRID,1),1),ROWS(T_GRID)-1)-1,0,2,1))+FORECAST(D7,OFFSET(RH_EXHAUST_TEMP,MIN(IFERROR(MATCH(D7,T_GRID,1),1),ROWS(T_GRID)-1)-1,0,2,1),OFFSET(T_GRID,MIN(IFERROR(MATCH(D7,T_GRID,1),1),ROWS(T_GRID)-1)-1,0,2,1))*(D9/100-0.6)+FORECAST(D7,OFFSET(INLET_EXHAUST_TEMP,MIN(IFERROR(MATCH(D7,T_GRID,1),1),ROWS(T_GRID)-1)-1,0,2,1),OFFSET(T_GRID,MIN(IFERROR(MATCH(D7,T_GRID,1),1),ROWS(T_GRID)-1)-1,0,2,1))*D10/D16+FORECAST(D7,OFFSET(EXHAUST_EXHAUST_TEMP,MIN(IFERROR(MATCH(D7,T_GRID,1),1),ROWS(T_GRID)-1)-1,0,2,1),OFFSET(T_GRID,MIN(IFERROR(MATCH(D7,T_GRID,1),1),ROWS(T_GRID)-1)-1,0,2,1))*D11/D16</f>
        <v/>
      </c>
      <c r="E41" s="10">
        <f>ISO_EXHAUST_TEMP_C+FORECAST(E7,OFFSET(T_EXHAUST_TEMP,MIN(IFERROR(MATCH(E7,T_GRID,1),1),ROWS(T_GRID)-1)-1,0,2,1),OFFSET(T_GRID,MIN(IFERROR(MATCH(E7,T_GRID,1),1),ROWS(T_GRID)-1)-1,0,2,1))+FORECAST(E7,OFFSET(RH_EXHAUST_TEMP,MIN(IFERROR(MATCH(E7,T_GRID,1),1),ROWS(T_GRID)-1)-1,0,2,1),OFFSET(T_GRID,MIN(IFERROR(MATCH(E7,T_GRID,1),1),ROWS(T_GRID)-1)-1,0,2,1))*(E9/100-0.6)+FORECAST(E7,OFFSET(INLET_EXHAUST_TEMP,MIN(IFERROR(MATCH(E7,T_GRID,1),1),ROWS(T_GRID)-1)-1,0,2,1),OFFSET(T_GRID,MIN(IFERROR(MATCH(E7,T_GRID,1),1),ROWS(T_GRID)-1)-1,0,2,1))*E10/E16+FORECAST(E7,OFFSET(EXHAUST_EXHAUST_TEMP,MIN(IFERROR(MATCH(E7,T_GRID,1),1),ROWS(T_GRID)-1)-1,0,2,1),OFFSET(T_GRID,MIN(IFERROR(MATCH(E7,T_GRID,1),1),ROWS(T_GRID)-1)-1,0,2,1))*E11/E16</f>
        <v/>
      </c>
      <c r="F41" s="10">
        <f>ISO_EXHAUST_TEMP_C+FORECAST(F7,OFFSET(T_EXHAUST_TEMP,MIN(IFERROR(MATCH(F7,T_GRID,1),1),ROWS(T_GRID)-1)-1,0,2,1),OFFSET(T_GRID,MIN(IFERROR(MATCH(F7,T_GRID,1),1),ROWS(T_GRID)-1)-1,0,2,1))+FORECAST(F7,OFFSET(RH_EXHAUST_TEMP,MIN(IFERROR(MATCH(F7,T_GRID,1),1),ROWS(T_GRID)-1)-1,0,2,1),OFFSET(T_GRID,MIN(IFERROR(MATCH(F7,T_GRID,1),1),ROWS(T_GRID)-1)-1,0,2,1))*(F9/100-0.6)+FORECAST(F7,OFFSET(INLET_EXHAUST_TEMP,MIN(IFERROR(MATCH(F7,T_GRID,1),1),ROWS(T_GRID)-1)-1,0,2,1),OFFSET(T_GRID,MIN(IFERROR(MATCH(F7,T_GRID,1),1),ROWS(T_GRID)-1)-1,0,2,1))*F10/F16+FORECAST(F7,OFFSET(EXHAUST_EXHAUST_TEMP,MIN(IFERROR(MATCH(F7,T_GRID,1),1),ROWS(T_GRID)-1)-1,0,2,1),OFFSET(T_GRID,MIN(IFERROR(MATCH(F7,T_GRID,1),1),ROWS(T_GRID)-1)-1,0,2,1))*F11/F16</f>
        <v/>
      </c>
      <c r="G41" s="10">
        <f>ISO_EXHAUST_TEMP_C+FORECAST(G7,OFFSET(T_EXHAUST_TEMP,MIN(IFERROR(MATCH(G7,T_GRID,1),1),ROWS(T_GRID)-1)-1,0,2,1),OFFSET(T_GRID,MIN(IFERROR(MATCH(G7,T_GRID,1),1),ROWS(T_GRID)-1)-1,0,2,1))+FORECAST(G7,OFFSET(RH_EXHAUST_TEMP,MIN(IFERROR(MATCH(G7,T_GRID,1),1),ROWS(T_GRID)-1)-1,0,2,1),OFFSET(T_GRID,MIN(IFERROR(MATCH(G7,T_GRID,1),1),ROWS(T_GRID)-1)-1,0,2,1))*(G9/100-0.6)+FORECAST(G7,OFFSET(INLET_EXHAUST_TEMP,MIN(IFERROR(MATCH(G7,T_GRID,1),1),ROWS(T_GRID)-1)-1,0,2,1),OFFSET(T_GRID,MIN(IFERROR(MATCH(G7,T_GRID,1),1),ROWS(T_GRID)-1)-1,0,2,1))*G10/G16+FORECAST(G7,OFFSET(EXHAUST_EXHAUST_TEMP,MIN(IFERROR(MATCH(G7,T_GRID,1),1),ROWS(T_GRID)-1)-1,0,2,1),OFFSET(T_GRID,MIN(IFERROR(MATCH(G7,T_GRID,1),1),ROWS(T_GRID)-1)-1,0,2,1))*G11/G16</f>
        <v/>
      </c>
      <c r="H41" s="10">
        <f>ISO_EXHAUST_TEMP_C+FORECAST(H7,OFFSET(T_EXHAUST_TEMP,MIN(IFERROR(MATCH(H7,T_GRID,1),1),ROWS(T_GRID)-1)-1,0,2,1),OFFSET(T_GRID,MIN(IFERROR(MATCH(H7,T_GRID,1),1),ROWS(T_GRID)-1)-1,0,2,1))+FORECAST(H7,OFFSET(RH_EXHAUST_TEMP,MIN(IFERROR(MATCH(H7,T_GRID,1),1),ROWS(T_GRID)-1)-1,0,2,1),OFFSET(T_GRID,MIN(IFERROR(MATCH(H7,T_GRID,1),1),ROWS(T_GRID)-1)-1,0,2,1))*(H9/100-0.6)+FORECAST(H7,OFFSET(INLET_EXHAUST_TEMP,MIN(IFERROR(MATCH(H7,T_GRID,1),1),ROWS(T_GRID)-1)-1,0,2,1),OFFSET(T_GRID,MIN(IFERROR(MATCH(H7,T_GRID,1),1),ROWS(T_GRID)-1)-1,0,2,1))*H10/H16+FORECAST(H7,OFFSET(EXHAUST_EXHAUST_TEMP,MIN(IFERROR(MATCH(H7,T_GRID,1),1),ROWS(T_GRID)-1)-1,0,2,1),OFFSET(T_GRID,MIN(IFERROR(MATCH(H7,T_GRID,1),1),ROWS(T_GRID)-1)-1,0,2,1))*H11/H16</f>
        <v/>
      </c>
    </row>
    <row r="43">
      <c r="B43" s="2" t="inlineStr">
        <is>
          <t>Fuel composition changes and part load need the full model (gtperf site, or the RunFullModel macro in gtperf.bas).</t>
        </is>
      </c>
    </row>
  </sheetData>
  <dataValidations count="7">
    <dataValidation sqref="D7:H7" showDropDown="0" showInputMessage="0" showErrorMessage="1" allowBlank="0" errorTitle="Out of range" error="Ambient temperature must be between -20 and 50 °C." type="decimal" operator="between">
      <formula1>-20</formula1>
      <formula2>50</formula2>
    </dataValidation>
    <dataValidation sqref="D8:H8" showDropDown="0" showInputMessage="0" showErrorMessage="1" allowBlank="0" errorTitle="Out of range" error="Site altitude must be between 0 and 3000 m." type="decimal" operator="between">
      <formula1>0</formula1>
      <formula2>3000</formula2>
    </dataValidation>
    <dataValidation sqref="D9:H9" showDropDown="0" showInputMessage="0" showErrorMessage="1" allowBlank="0" errorTitle="Out of range" error="Relative humidity must be between 0 and 100 %." type="decimal" operator="between">
      <formula1>0</formula1>
      <formula2>100</formula2>
    </dataValidation>
    <dataValidation sqref="D10:H10" showDropDown="0" showInputMessage="0" showErrorMessage="1" allowBlank="0" errorTitle="Out of range" error="Inlet pressure loss must be between 0 and 50 mbar." type="decimal" operator="between">
      <formula1>0</formula1>
      <formula2>50</formula2>
    </dataValidation>
    <dataValidation sqref="D11:H11" showDropDown="0" showInputMessage="0" showErrorMessage="1" allowBlank="0" errorTitle="Out of range" error="Exhaust pressure loss must be between 0 and 80 mbar." type="decimal" operator="between">
      <formula1>0</formula1>
      <formula2>80</formula2>
    </dataValidation>
    <dataValidation sqref="D12:H12" showDropDown="0" showInputMessage="0" showErrorMessage="1" allowBlank="0" errorTitle="Out of range" error="Degradation, output must be between 0 and 15 %." type="decimal" operator="between">
      <formula1>0</formula1>
      <formula2>15</formula2>
    </dataValidation>
    <dataValidation sqref="D13:H13" showDropDown="0" showInputMessage="0" showErrorMessage="1" allowBlank="0" errorTitle="Out of range" error="Degradation, heat rate must be between 0 and 15 %." type="decimal" operator="between">
      <formula1>0</formula1>
      <formula2>15</formula2>
    </dataValidation>
  </dataValidation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3" t="inlineStr">
        <is>
          <t>temperature_C</t>
        </is>
      </c>
      <c r="B1" s="3" t="inlineStr">
        <is>
          <t>t_power</t>
        </is>
      </c>
      <c r="C1" s="3" t="inlineStr">
        <is>
          <t>t_heat_rate</t>
        </is>
      </c>
      <c r="D1" s="3" t="inlineStr">
        <is>
          <t>t_exhaust_flow</t>
        </is>
      </c>
      <c r="E1" s="3" t="inlineStr">
        <is>
          <t>t_exhaust_temp</t>
        </is>
      </c>
      <c r="F1" s="3" t="inlineStr">
        <is>
          <t>rh_power</t>
        </is>
      </c>
      <c r="G1" s="3" t="inlineStr">
        <is>
          <t>rh_heat_rate</t>
        </is>
      </c>
      <c r="H1" s="3" t="inlineStr">
        <is>
          <t>rh_exhaust_flow</t>
        </is>
      </c>
      <c r="I1" s="3" t="inlineStr">
        <is>
          <t>rh_exhaust_temp</t>
        </is>
      </c>
      <c r="J1" s="3" t="inlineStr">
        <is>
          <t>inlet_power</t>
        </is>
      </c>
      <c r="K1" s="3" t="inlineStr">
        <is>
          <t>inlet_heat_rate</t>
        </is>
      </c>
      <c r="L1" s="3" t="inlineStr">
        <is>
          <t>inlet_exhaust_flow</t>
        </is>
      </c>
      <c r="M1" s="3" t="inlineStr">
        <is>
          <t>inlet_exhaust_temp</t>
        </is>
      </c>
      <c r="N1" s="3" t="inlineStr">
        <is>
          <t>exhaust_power</t>
        </is>
      </c>
      <c r="O1" s="3" t="inlineStr">
        <is>
          <t>exhaust_heat_rate</t>
        </is>
      </c>
      <c r="P1" s="3" t="inlineStr">
        <is>
          <t>exhaust_exhaust_flow</t>
        </is>
      </c>
      <c r="Q1" s="3" t="inlineStr">
        <is>
          <t>exhaust_exhaust_temp</t>
        </is>
      </c>
      <c r="R1" s="3" t="inlineStr">
        <is>
          <t>control</t>
        </is>
      </c>
    </row>
    <row r="2">
      <c r="A2" t="n">
        <v>-20</v>
      </c>
      <c r="B2" s="14" t="n">
        <v>1.335155971261992</v>
      </c>
      <c r="C2" s="14" t="n">
        <v>0.9252690468069954</v>
      </c>
      <c r="D2" s="14" t="n">
        <v>1.243493019066825</v>
      </c>
      <c r="E2" s="14" t="n">
        <v>-53.81608251948421</v>
      </c>
      <c r="F2" s="14" t="n">
        <v>-0.0005691042480156882</v>
      </c>
      <c r="G2" s="14" t="n">
        <v>0.0002837820183797899</v>
      </c>
      <c r="H2" s="14" t="n">
        <v>-0.0005717874973342139</v>
      </c>
      <c r="I2" s="14" t="n">
        <v>-0.09598326718617045</v>
      </c>
      <c r="J2" s="14" t="n">
        <v>-0.001391168431232983</v>
      </c>
      <c r="K2" s="14" t="n">
        <v>0.0004717592400200144</v>
      </c>
      <c r="L2" s="14" t="n">
        <v>-0.0009864248851135476</v>
      </c>
      <c r="M2" s="14" t="n">
        <v>0.1760327871405025</v>
      </c>
      <c r="N2" s="14" t="n">
        <v>-0.0004020530733407966</v>
      </c>
      <c r="O2" s="14" t="n">
        <v>0.0004681141080733867</v>
      </c>
      <c r="P2" s="14" t="n">
        <v>5.016650947465988e-07</v>
      </c>
      <c r="Q2" s="14" t="n">
        <v>0.1738631345204203</v>
      </c>
      <c r="R2" t="inlineStr">
        <is>
          <t>gas generator speed</t>
        </is>
      </c>
    </row>
    <row r="3">
      <c r="A3" t="n">
        <v>-15</v>
      </c>
      <c r="B3" s="14" t="n">
        <v>1.300702480144624</v>
      </c>
      <c r="C3" s="14" t="n">
        <v>0.9327281922253925</v>
      </c>
      <c r="D3" s="14" t="n">
        <v>1.212675462033141</v>
      </c>
      <c r="E3" s="14" t="n">
        <v>-43.8191477404165</v>
      </c>
      <c r="F3" s="14" t="n">
        <v>-0.0008642398712572423</v>
      </c>
      <c r="G3" s="14" t="n">
        <v>0.0004380236182299227</v>
      </c>
      <c r="H3" s="14" t="n">
        <v>-0.0008721757412085889</v>
      </c>
      <c r="I3" s="14" t="n">
        <v>-0.1437783627650333</v>
      </c>
      <c r="J3" s="14" t="n">
        <v>-0.001395417524612137</v>
      </c>
      <c r="K3" s="14" t="n">
        <v>0.0004789034783387551</v>
      </c>
      <c r="L3" s="14" t="n">
        <v>-0.0009864257935182173</v>
      </c>
      <c r="M3" s="14" t="n">
        <v>0.1792363238668145</v>
      </c>
      <c r="N3" s="14" t="n">
        <v>-0.0004062632949146366</v>
      </c>
      <c r="O3" s="14" t="n">
        <v>0.0004752381050274626</v>
      </c>
      <c r="P3" s="14" t="n">
        <v>5.007219043808557e-07</v>
      </c>
      <c r="Q3" s="14" t="n">
        <v>0.1770374477214455</v>
      </c>
      <c r="R3" t="inlineStr">
        <is>
          <t>gas generator speed</t>
        </is>
      </c>
    </row>
    <row r="4">
      <c r="A4" t="n">
        <v>-10</v>
      </c>
      <c r="B4" s="14" t="n">
        <v>1.267725650843293</v>
      </c>
      <c r="C4" s="14" t="n">
        <v>0.9402859962454216</v>
      </c>
      <c r="D4" s="14" t="n">
        <v>1.18306691941724</v>
      </c>
      <c r="E4" s="14" t="n">
        <v>-33.78740557458298</v>
      </c>
      <c r="F4" s="14" t="n">
        <v>-0.001289619285298176</v>
      </c>
      <c r="G4" s="14" t="n">
        <v>0.0006640617034990256</v>
      </c>
      <c r="H4" s="14" t="n">
        <v>-0.001306906288256758</v>
      </c>
      <c r="I4" s="14" t="n">
        <v>-0.2115679017728098</v>
      </c>
      <c r="J4" s="14" t="n">
        <v>-0.001399596689727202</v>
      </c>
      <c r="K4" s="14" t="n">
        <v>0.0004860397754772805</v>
      </c>
      <c r="L4" s="14" t="n">
        <v>-0.0009864304797140735</v>
      </c>
      <c r="M4" s="14" t="n">
        <v>0.1824735347481919</v>
      </c>
      <c r="N4" s="14" t="n">
        <v>-0.0004104034122578723</v>
      </c>
      <c r="O4" s="14" t="n">
        <v>0.0004823546372614582</v>
      </c>
      <c r="P4" s="14" t="n">
        <v>4.959709033271408e-07</v>
      </c>
      <c r="Q4" s="14" t="n">
        <v>0.1802454174107425</v>
      </c>
      <c r="R4" t="inlineStr">
        <is>
          <t>gas generator speed</t>
        </is>
      </c>
    </row>
    <row r="5">
      <c r="A5" t="n">
        <v>-5</v>
      </c>
      <c r="B5" s="14" t="n">
        <v>1.231487873085713</v>
      </c>
      <c r="C5" s="14" t="n">
        <v>0.9484730843523687</v>
      </c>
      <c r="D5" s="14" t="n">
        <v>1.152747052385822</v>
      </c>
      <c r="E5" s="14" t="n">
        <v>-24.34127314993236</v>
      </c>
      <c r="F5" s="14" t="n">
        <v>0.002472679504958275</v>
      </c>
      <c r="G5" s="14" t="n">
        <v>0.0003552555359570275</v>
      </c>
      <c r="H5" s="14" t="n">
        <v>-8.578180258360867e-05</v>
      </c>
      <c r="I5" s="14" t="n">
        <v>0.4107696508241361</v>
      </c>
      <c r="J5" s="14" t="n">
        <v>-0.001536920355994321</v>
      </c>
      <c r="K5" s="14" t="n">
        <v>0.0005143791244374392</v>
      </c>
      <c r="L5" s="14" t="n">
        <v>-0.001042372566001456</v>
      </c>
      <c r="M5" s="14" t="n">
        <v>0.1640164609251087</v>
      </c>
      <c r="N5" s="14" t="n">
        <v>-0.000548352542542882</v>
      </c>
      <c r="O5" s="14" t="n">
        <v>0.0005114542358961091</v>
      </c>
      <c r="P5" s="14" t="n">
        <v>-5.592641013635446e-05</v>
      </c>
      <c r="Q5" s="14" t="n">
        <v>0.1619026721825321</v>
      </c>
      <c r="R5" t="inlineStr">
        <is>
          <t>temperature</t>
        </is>
      </c>
    </row>
    <row r="6">
      <c r="A6" t="n">
        <v>0</v>
      </c>
      <c r="B6" s="14" t="n">
        <v>1.169546078761788</v>
      </c>
      <c r="C6" s="14" t="n">
        <v>0.9602076457474391</v>
      </c>
      <c r="D6" s="14" t="n">
        <v>1.112667746769416</v>
      </c>
      <c r="E6" s="14" t="n">
        <v>-18.51210073989398</v>
      </c>
      <c r="F6" s="14" t="n">
        <v>0.003659115032547931</v>
      </c>
      <c r="G6" s="14" t="n">
        <v>0.0004651654411378912</v>
      </c>
      <c r="H6" s="14" t="n">
        <v>-9.853524782378449e-05</v>
      </c>
      <c r="I6" s="14" t="n">
        <v>0.5762483960992313</v>
      </c>
      <c r="J6" s="14" t="n">
        <v>-0.001560517326160122</v>
      </c>
      <c r="K6" s="14" t="n">
        <v>0.0005336433548895494</v>
      </c>
      <c r="L6" s="14" t="n">
        <v>-0.001048214918213178</v>
      </c>
      <c r="M6" s="14" t="n">
        <v>0.1675187036901548</v>
      </c>
      <c r="N6" s="14" t="n">
        <v>-0.0005719348073886724</v>
      </c>
      <c r="O6" s="14" t="n">
        <v>0.0005308095779901511</v>
      </c>
      <c r="P6" s="14" t="n">
        <v>-6.18284983354676e-05</v>
      </c>
      <c r="Q6" s="14" t="n">
        <v>0.1653819075860656</v>
      </c>
      <c r="R6" t="inlineStr">
        <is>
          <t>temperature</t>
        </is>
      </c>
    </row>
    <row r="7">
      <c r="A7" t="n">
        <v>5</v>
      </c>
      <c r="B7" s="14" t="n">
        <v>1.110357364482509</v>
      </c>
      <c r="C7" s="14" t="n">
        <v>0.9726638785112107</v>
      </c>
      <c r="D7" s="14" t="n">
        <v>1.073891842107071</v>
      </c>
      <c r="E7" s="14" t="n">
        <v>-12.52311175820978</v>
      </c>
      <c r="F7" s="14" t="n">
        <v>0.00533658613894034</v>
      </c>
      <c r="G7" s="14" t="n">
        <v>0.000588922758077259</v>
      </c>
      <c r="H7" s="14" t="n">
        <v>-0.000102852783277088</v>
      </c>
      <c r="I7" s="14" t="n">
        <v>0.7946743053282717</v>
      </c>
      <c r="J7" s="14" t="n">
        <v>-0.001585803624516228</v>
      </c>
      <c r="K7" s="14" t="n">
        <v>0.0005541172034427913</v>
      </c>
      <c r="L7" s="14" t="n">
        <v>-0.001054684742133139</v>
      </c>
      <c r="M7" s="14" t="n">
        <v>0.1711896403406513</v>
      </c>
      <c r="N7" s="14" t="n">
        <v>-0.0005972110287659955</v>
      </c>
      <c r="O7" s="14" t="n">
        <v>0.0005513986835631769</v>
      </c>
      <c r="P7" s="14" t="n">
        <v>-6.836663170796402e-05</v>
      </c>
      <c r="Q7" s="14" t="n">
        <v>0.1690310546700903</v>
      </c>
      <c r="R7" t="inlineStr">
        <is>
          <t>temperature</t>
        </is>
      </c>
    </row>
    <row r="8">
      <c r="A8" t="n">
        <v>10</v>
      </c>
      <c r="B8" s="14" t="n">
        <v>1.053856805541576</v>
      </c>
      <c r="C8" s="14" t="n">
        <v>0.9859057393337989</v>
      </c>
      <c r="D8" s="14" t="n">
        <v>1.036355093337257</v>
      </c>
      <c r="E8" s="14" t="n">
        <v>-6.35810027507398</v>
      </c>
      <c r="F8" s="14" t="n">
        <v>0.007676611975332574</v>
      </c>
      <c r="G8" s="14" t="n">
        <v>0.0007170252454227454</v>
      </c>
      <c r="H8" s="14" t="n">
        <v>-9.028594759498202e-05</v>
      </c>
      <c r="I8" s="14" t="n">
        <v>1.078038343272965</v>
      </c>
      <c r="J8" s="14" t="n">
        <v>-0.001612921476433409</v>
      </c>
      <c r="K8" s="14" t="n">
        <v>0.0005758923160186992</v>
      </c>
      <c r="L8" s="14" t="n">
        <v>-0.001061846745050555</v>
      </c>
      <c r="M8" s="14" t="n">
        <v>0.1750376975629365</v>
      </c>
      <c r="N8" s="14" t="n">
        <v>-0.0006243247499745535</v>
      </c>
      <c r="O8" s="14" t="n">
        <v>0.0005733175625904575</v>
      </c>
      <c r="P8" s="14" t="n">
        <v>-7.560687498355098e-05</v>
      </c>
      <c r="Q8" s="14" t="n">
        <v>0.1728589515844942</v>
      </c>
      <c r="R8" t="inlineStr">
        <is>
          <t>temperature</t>
        </is>
      </c>
    </row>
    <row r="9">
      <c r="A9" t="n">
        <v>15</v>
      </c>
      <c r="B9" s="14" t="n">
        <v>1.000000000000009</v>
      </c>
      <c r="C9" s="14" t="n">
        <v>0.9999999999999961</v>
      </c>
      <c r="D9" s="14" t="n">
        <v>1.000000000000008</v>
      </c>
      <c r="E9" s="14" t="n">
        <v>-1.70530256582424e-12</v>
      </c>
      <c r="F9" s="14" t="n">
        <v>0.01089919505258998</v>
      </c>
      <c r="G9" s="14" t="n">
        <v>0.0008318665163371212</v>
      </c>
      <c r="H9" s="14" t="n">
        <v>-4.837621730615597e-05</v>
      </c>
      <c r="I9" s="14" t="n">
        <v>1.439538676354346</v>
      </c>
      <c r="J9" s="14" t="n">
        <v>-0.00164201201836476</v>
      </c>
      <c r="K9" s="14" t="n">
        <v>0.0005990565412248054</v>
      </c>
      <c r="L9" s="14" t="n">
        <v>-0.00106976798725026</v>
      </c>
      <c r="M9" s="14" t="n">
        <v>0.1790685158543852</v>
      </c>
      <c r="N9" s="14" t="n">
        <v>-0.0006534187141628573</v>
      </c>
      <c r="O9" s="14" t="n">
        <v>0.0005966591059260783</v>
      </c>
      <c r="P9" s="14" t="n">
        <v>-8.361782150340886e-05</v>
      </c>
      <c r="Q9" s="14" t="n">
        <v>0.1768717372715537</v>
      </c>
      <c r="R9" t="inlineStr">
        <is>
          <t>temperature</t>
        </is>
      </c>
    </row>
    <row r="10">
      <c r="A10" t="n">
        <v>20</v>
      </c>
      <c r="B10" s="14" t="n">
        <v>0.9487636650345469</v>
      </c>
      <c r="C10" s="14" t="n">
        <v>1.015014523522647</v>
      </c>
      <c r="D10" s="14" t="n">
        <v>0.9647761829826441</v>
      </c>
      <c r="E10" s="14" t="n">
        <v>6.568747551123352</v>
      </c>
      <c r="F10" s="14" t="n">
        <v>0.01528265622284213</v>
      </c>
      <c r="G10" s="14" t="n">
        <v>0.0009045139968295041</v>
      </c>
      <c r="H10" s="14" t="n">
        <v>4.032385461953866e-05</v>
      </c>
      <c r="I10" s="14" t="n">
        <v>1.893332371230485</v>
      </c>
      <c r="J10" s="14" t="n">
        <v>-0.00167320805287697</v>
      </c>
      <c r="K10" s="14" t="n">
        <v>0.000623687712147249</v>
      </c>
      <c r="L10" s="14" t="n">
        <v>-0.001078515665245603</v>
      </c>
      <c r="M10" s="14" t="n">
        <v>0.183283274397354</v>
      </c>
      <c r="N10" s="14" t="n">
        <v>-0.0006846276725370302</v>
      </c>
      <c r="O10" s="14" t="n">
        <v>0.0006215068815850704</v>
      </c>
      <c r="P10" s="14" t="n">
        <v>-9.246837333432409e-05</v>
      </c>
      <c r="Q10" s="14" t="n">
        <v>0.1810711796244141</v>
      </c>
      <c r="R10" t="inlineStr">
        <is>
          <t>temperature</t>
        </is>
      </c>
    </row>
    <row r="11">
      <c r="A11" t="n">
        <v>25</v>
      </c>
      <c r="B11" s="14" t="n">
        <v>0.9001460169167425</v>
      </c>
      <c r="C11" s="14" t="n">
        <v>1.031015762314368</v>
      </c>
      <c r="D11" s="14" t="n">
        <v>0.9306407203388833</v>
      </c>
      <c r="E11" s="14" t="n">
        <v>13.36566989507196</v>
      </c>
      <c r="F11" s="14" t="n">
        <v>0.02117408643700421</v>
      </c>
      <c r="G11" s="14" t="n">
        <v>0.0008909683524926578</v>
      </c>
      <c r="H11" s="14" t="n">
        <v>0.0001991098900121296</v>
      </c>
      <c r="I11" s="14" t="n">
        <v>2.454263683956128</v>
      </c>
      <c r="J11" s="14" t="n">
        <v>-0.001706624683850858</v>
      </c>
      <c r="K11" s="14" t="n">
        <v>0.0006498451929417436</v>
      </c>
      <c r="L11" s="14" t="n">
        <v>-0.001088154305489066</v>
      </c>
      <c r="M11" s="14" t="n">
        <v>0.1876764437042084</v>
      </c>
      <c r="N11" s="14" t="n">
        <v>-0.00071806913420036</v>
      </c>
      <c r="O11" s="14" t="n">
        <v>0.0006479266607006167</v>
      </c>
      <c r="P11" s="14" t="n">
        <v>-0.0001022249505817847</v>
      </c>
      <c r="Q11" s="14" t="n">
        <v>0.1854524249338965</v>
      </c>
      <c r="R11" t="inlineStr">
        <is>
          <t>temperature</t>
        </is>
      </c>
    </row>
    <row r="12">
      <c r="A12" t="n">
        <v>30</v>
      </c>
      <c r="B12" s="14" t="n">
        <v>0.8541666375678799</v>
      </c>
      <c r="C12" s="14" t="n">
        <v>1.04806545967766</v>
      </c>
      <c r="D12" s="14" t="n">
        <v>0.8975582191731517</v>
      </c>
      <c r="E12" s="14" t="n">
        <v>20.40759978061635</v>
      </c>
      <c r="F12" s="14" t="n">
        <v>0.0290000095035467</v>
      </c>
      <c r="G12" s="14" t="n">
        <v>0.0007280813026981693</v>
      </c>
      <c r="H12" s="14" t="n">
        <v>0.0004577359329655641</v>
      </c>
      <c r="I12" s="14" t="n">
        <v>3.137666438291944</v>
      </c>
      <c r="J12" s="14" t="n">
        <v>-0.001742349994130616</v>
      </c>
      <c r="K12" s="14" t="n">
        <v>0.000677559726232364</v>
      </c>
      <c r="L12" s="14" t="n">
        <v>-0.001098743667782387</v>
      </c>
      <c r="M12" s="14" t="n">
        <v>0.1922330069097143</v>
      </c>
      <c r="N12" s="14" t="n">
        <v>-0.000753834409218688</v>
      </c>
      <c r="O12" s="14" t="n">
        <v>0.0006759562734873315</v>
      </c>
      <c r="P12" s="14" t="n">
        <v>-0.0001129495385753304</v>
      </c>
      <c r="Q12" s="14" t="n">
        <v>0.1900012173821369</v>
      </c>
      <c r="R12" t="inlineStr">
        <is>
          <t>temperature</t>
        </is>
      </c>
    </row>
    <row r="13">
      <c r="A13" t="n">
        <v>35</v>
      </c>
      <c r="B13" s="14" t="n">
        <v>0.8108651361636405</v>
      </c>
      <c r="C13" s="14" t="n">
        <v>1.066216874634438</v>
      </c>
      <c r="D13" s="14" t="n">
        <v>0.8655001119592822</v>
      </c>
      <c r="E13" s="14" t="n">
        <v>27.70995677867393</v>
      </c>
      <c r="F13" s="14" t="n">
        <v>0.03927746823983532</v>
      </c>
      <c r="G13" s="14" t="n">
        <v>0.0003291558679296361</v>
      </c>
      <c r="H13" s="14" t="n">
        <v>0.0008530757876170331</v>
      </c>
      <c r="I13" s="14" t="n">
        <v>3.959351202440757</v>
      </c>
      <c r="J13" s="14" t="n">
        <v>-0.001780444647149142</v>
      </c>
      <c r="K13" s="14" t="n">
        <v>0.0007068250761252525</v>
      </c>
      <c r="L13" s="14" t="n">
        <v>-0.001110342338413822</v>
      </c>
      <c r="M13" s="14" t="n">
        <v>0.1969257561408881</v>
      </c>
      <c r="N13" s="14" t="n">
        <v>-0.0007919895526558251</v>
      </c>
      <c r="O13" s="14" t="n">
        <v>0.0007055976441259513</v>
      </c>
      <c r="P13" s="14" t="n">
        <v>-0.0001247039929677314</v>
      </c>
      <c r="Q13" s="14" t="n">
        <v>0.1946912499199243</v>
      </c>
      <c r="R13" t="inlineStr">
        <is>
          <t>temperature</t>
        </is>
      </c>
    </row>
    <row r="14">
      <c r="A14" t="n">
        <v>40</v>
      </c>
      <c r="B14" s="14" t="n">
        <v>0.7702968186178835</v>
      </c>
      <c r="C14" s="14" t="n">
        <v>1.085511838828136</v>
      </c>
      <c r="D14" s="14" t="n">
        <v>0.8344419078266418</v>
      </c>
      <c r="E14" s="14" t="n">
        <v>35.2862531891509</v>
      </c>
      <c r="F14" s="14" t="n">
        <v>0.05262977678119753</v>
      </c>
      <c r="G14" s="14" t="n">
        <v>-0.0004223179328935722</v>
      </c>
      <c r="H14" s="14" t="n">
        <v>0.001432552188491042</v>
      </c>
      <c r="I14" s="14" t="n">
        <v>4.935624746388612</v>
      </c>
      <c r="J14" s="14" t="n">
        <v>-0.001820982010165379</v>
      </c>
      <c r="K14" s="14" t="n">
        <v>0.0007376052844477066</v>
      </c>
      <c r="L14" s="14" t="n">
        <v>-0.001123034553118407</v>
      </c>
      <c r="M14" s="14" t="n">
        <v>0.2017153970590698</v>
      </c>
      <c r="N14" s="14" t="n">
        <v>-0.0008326206463469334</v>
      </c>
      <c r="O14" s="14" t="n">
        <v>0.0007368263643812403</v>
      </c>
      <c r="P14" s="14" t="n">
        <v>-0.000137579883874401</v>
      </c>
      <c r="Q14" s="14" t="n">
        <v>0.1994846455654124</v>
      </c>
      <c r="R14" t="inlineStr">
        <is>
          <t>temperature</t>
        </is>
      </c>
    </row>
    <row r="15">
      <c r="A15" t="n">
        <v>45</v>
      </c>
      <c r="B15" s="14" t="n">
        <v>0.7325202398482688</v>
      </c>
      <c r="C15" s="14" t="n">
        <v>1.105982984005574</v>
      </c>
      <c r="D15" s="14" t="n">
        <v>0.804354884676587</v>
      </c>
      <c r="E15" s="14" t="n">
        <v>43.14868727324574</v>
      </c>
      <c r="F15" s="14" t="n">
        <v>0.06983217431650399</v>
      </c>
      <c r="G15" s="14" t="n">
        <v>-0.001691520283254659</v>
      </c>
      <c r="H15" s="14" t="n">
        <v>0.002275478920821667</v>
      </c>
      <c r="I15" s="14" t="n">
        <v>6.081246925355686</v>
      </c>
      <c r="J15" s="14" t="n">
        <v>-0.001864243236677761</v>
      </c>
      <c r="K15" s="14" t="n">
        <v>0.0007699095803217675</v>
      </c>
      <c r="L15" s="14" t="n">
        <v>-0.001137044182588025</v>
      </c>
      <c r="M15" s="14" t="n">
        <v>0.2065645755627088</v>
      </c>
      <c r="N15" s="14" t="n">
        <v>-0.0008760499239232303</v>
      </c>
      <c r="O15" s="14" t="n">
        <v>0.0007696775955187201</v>
      </c>
      <c r="P15" s="14" t="n">
        <v>-0.0001518252394354583</v>
      </c>
      <c r="Q15" s="14" t="n">
        <v>0.2043479520885648</v>
      </c>
      <c r="R15" t="inlineStr">
        <is>
          <t>temperature</t>
        </is>
      </c>
    </row>
    <row r="16">
      <c r="A16" t="n">
        <v>50</v>
      </c>
      <c r="B16" s="14" t="n">
        <v>0.6975602935444133</v>
      </c>
      <c r="C16" s="14" t="n">
        <v>1.12767576035671</v>
      </c>
      <c r="D16" s="14" t="n">
        <v>0.7751812254382082</v>
      </c>
      <c r="E16" s="14" t="n">
        <v>51.31272491018137</v>
      </c>
      <c r="F16" s="14" t="n">
        <v>0.09202857508044705</v>
      </c>
      <c r="G16" s="14" t="n">
        <v>-0.00378891701694551</v>
      </c>
      <c r="H16" s="14" t="n">
        <v>0.003617504670806056</v>
      </c>
      <c r="I16" s="14" t="n">
        <v>7.390376305376435</v>
      </c>
      <c r="J16" s="14" t="n">
        <v>-0.001911513693648213</v>
      </c>
      <c r="K16" s="14" t="n">
        <v>0.0008041423343746412</v>
      </c>
      <c r="L16" s="14" t="n">
        <v>-0.001153188297366022</v>
      </c>
      <c r="M16" s="14" t="n">
        <v>0.2115132010286402</v>
      </c>
      <c r="N16" s="14" t="n">
        <v>-0.0009237249690303393</v>
      </c>
      <c r="O16" s="14" t="n">
        <v>0.0008046472238219783</v>
      </c>
      <c r="P16" s="14" t="n">
        <v>-0.0001683550818976937</v>
      </c>
      <c r="Q16" s="14" t="n">
        <v>0.2093374692861016</v>
      </c>
      <c r="R16" t="inlineStr">
        <is>
          <t>temperature</t>
        </is>
      </c>
    </row>
    <row r="18">
      <c r="A18" s="2" t="inlineStr">
        <is>
          <t>Ratios to ISO for t_*; exhaust temperature columns are kelvin. rh_* per unit RH about 60%, inlet_* per mbar of inlet loss, exhaust_* per mbar of exhaust loss, all at sea level.</t>
        </is>
      </c>
    </row>
    <row r="20">
      <c r="A20" s="15" t="inlineStr">
        <is>
          <t>power_MW</t>
        </is>
      </c>
      <c r="B20" s="15" t="inlineStr">
        <is>
          <t>heat_rate</t>
        </is>
      </c>
      <c r="C20" s="15" t="inlineStr">
        <is>
          <t>exhaust_flow</t>
        </is>
      </c>
      <c r="D20" s="15" t="inlineStr">
        <is>
          <t>exhaust_temp_C</t>
        </is>
      </c>
    </row>
    <row r="21">
      <c r="A21" t="n">
        <v>12.9</v>
      </c>
      <c r="B21" t="n">
        <v>10294.00000000002</v>
      </c>
      <c r="C21" t="n">
        <v>40.00000000000001</v>
      </c>
      <c r="D21" t="n">
        <v>550.1991534718409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6" customWidth="1" min="3" max="3"/>
    <col width="14" customWidth="1" min="4" max="4"/>
    <col width="14" customWidth="1" min="5" max="5"/>
    <col width="14" customWidth="1" min="6" max="6"/>
  </cols>
  <sheetData>
    <row r="1">
      <c r="B1" s="16" t="inlineStr">
        <is>
          <t>Workbook formulas against the full gtperf model</t>
        </is>
      </c>
    </row>
    <row r="2">
      <c r="B2" s="2" t="inlineStr">
        <is>
          <t>Full-model values were computed when the workbook was generated, for the cases as generated. If you change a case on the Site tool sheet the error column no longer applies.</t>
        </is>
      </c>
    </row>
    <row r="4">
      <c r="B4" s="3" t="inlineStr">
        <is>
          <t>Case</t>
        </is>
      </c>
      <c r="C4" s="3" t="inlineStr">
        <is>
          <t>Quantity</t>
        </is>
      </c>
      <c r="D4" s="3" t="inlineStr">
        <is>
          <t>Full model</t>
        </is>
      </c>
      <c r="E4" s="3" t="inlineStr">
        <is>
          <t>Workbook</t>
        </is>
      </c>
      <c r="F4" s="3" t="inlineStr">
        <is>
          <t>Error</t>
        </is>
      </c>
    </row>
    <row r="5">
      <c r="B5" t="inlineStr">
        <is>
          <t>ISO</t>
        </is>
      </c>
      <c r="C5" t="inlineStr">
        <is>
          <t>Output, MW</t>
        </is>
      </c>
      <c r="D5" s="17" t="n">
        <v>12.9</v>
      </c>
      <c r="E5" s="17">
        <f>'Site tool'!D36</f>
        <v/>
      </c>
      <c r="F5" s="18">
        <f>E5/D5-1</f>
        <v/>
      </c>
    </row>
    <row r="6">
      <c r="B6" t="inlineStr">
        <is>
          <t>ISO</t>
        </is>
      </c>
      <c r="C6" t="inlineStr">
        <is>
          <t>Heat rate, kJ/kWh</t>
        </is>
      </c>
      <c r="D6" s="19" t="n">
        <v>10294.00000000002</v>
      </c>
      <c r="E6" s="19">
        <f>'Site tool'!D37</f>
        <v/>
      </c>
      <c r="F6" s="18">
        <f>E6/D6-1</f>
        <v/>
      </c>
    </row>
    <row r="7">
      <c r="B7" t="inlineStr">
        <is>
          <t>ISO</t>
        </is>
      </c>
      <c r="C7" t="inlineStr">
        <is>
          <t>Exhaust flow, kg/s</t>
        </is>
      </c>
      <c r="D7" s="17" t="n">
        <v>40.00000000000001</v>
      </c>
      <c r="E7" s="17">
        <f>'Site tool'!D40</f>
        <v/>
      </c>
      <c r="F7" s="18">
        <f>E7/D7-1</f>
        <v/>
      </c>
    </row>
    <row r="8">
      <c r="B8" t="inlineStr">
        <is>
          <t>ISO</t>
        </is>
      </c>
      <c r="C8" t="inlineStr">
        <is>
          <t>Exhaust temperature, °C</t>
        </is>
      </c>
      <c r="D8" s="20" t="n">
        <v>550.1991534718409</v>
      </c>
      <c r="E8" s="20">
        <f>'Site tool'!D41</f>
        <v/>
      </c>
      <c r="F8" s="21">
        <f>E8-D8</f>
        <v/>
      </c>
    </row>
    <row r="9">
      <c r="B9" t="inlineStr">
        <is>
          <t>Temperate, sea level</t>
        </is>
      </c>
      <c r="C9" t="inlineStr">
        <is>
          <t>Output, MW</t>
        </is>
      </c>
      <c r="D9" s="17" t="n">
        <v>13.26472571011501</v>
      </c>
      <c r="E9" s="17">
        <f>'Site tool'!E36</f>
        <v/>
      </c>
      <c r="F9" s="18">
        <f>E9/D9-1</f>
        <v/>
      </c>
    </row>
    <row r="10">
      <c r="B10" t="inlineStr">
        <is>
          <t>Temperate, sea level</t>
        </is>
      </c>
      <c r="C10" t="inlineStr">
        <is>
          <t>Heat rate, kJ/kWh</t>
        </is>
      </c>
      <c r="D10" s="19" t="n">
        <v>10285.55048024335</v>
      </c>
      <c r="E10" s="19">
        <f>'Site tool'!E37</f>
        <v/>
      </c>
      <c r="F10" s="18">
        <f>E10/D10-1</f>
        <v/>
      </c>
    </row>
    <row r="11">
      <c r="B11" t="inlineStr">
        <is>
          <t>Temperate, sea level</t>
        </is>
      </c>
      <c r="C11" t="inlineStr">
        <is>
          <t>Exhaust flow, kg/s</t>
        </is>
      </c>
      <c r="D11" s="17" t="n">
        <v>40.90699658376359</v>
      </c>
      <c r="E11" s="17">
        <f>'Site tool'!E40</f>
        <v/>
      </c>
      <c r="F11" s="18">
        <f>E11/D11-1</f>
        <v/>
      </c>
    </row>
    <row r="12">
      <c r="B12" t="inlineStr">
        <is>
          <t>Temperate, sea level</t>
        </is>
      </c>
      <c r="C12" t="inlineStr">
        <is>
          <t>Exhaust temperature, °C</t>
        </is>
      </c>
      <c r="D12" s="20" t="n">
        <v>548.0783084270118</v>
      </c>
      <c r="E12" s="20">
        <f>'Site tool'!E41</f>
        <v/>
      </c>
      <c r="F12" s="21">
        <f>E12-D12</f>
        <v/>
      </c>
    </row>
    <row r="13">
      <c r="B13" t="inlineStr">
        <is>
          <t>Hot desert</t>
        </is>
      </c>
      <c r="C13" t="inlineStr">
        <is>
          <t>Output, MW</t>
        </is>
      </c>
      <c r="D13" s="17" t="n">
        <v>8.488995754045042</v>
      </c>
      <c r="E13" s="17">
        <f>'Site tool'!F36</f>
        <v/>
      </c>
      <c r="F13" s="18">
        <f>E13/D13-1</f>
        <v/>
      </c>
    </row>
    <row r="14">
      <c r="B14" t="inlineStr">
        <is>
          <t>Hot desert</t>
        </is>
      </c>
      <c r="C14" t="inlineStr">
        <is>
          <t>Heat rate, kJ/kWh</t>
        </is>
      </c>
      <c r="D14" s="19" t="n">
        <v>11725.86278882141</v>
      </c>
      <c r="E14" s="19">
        <f>'Site tool'!F37</f>
        <v/>
      </c>
      <c r="F14" s="18">
        <f>E14/D14-1</f>
        <v/>
      </c>
    </row>
    <row r="15">
      <c r="B15" t="inlineStr">
        <is>
          <t>Hot desert</t>
        </is>
      </c>
      <c r="C15" t="inlineStr">
        <is>
          <t>Exhaust flow, kg/s</t>
        </is>
      </c>
      <c r="D15" s="17" t="n">
        <v>30.52141677770948</v>
      </c>
      <c r="E15" s="17">
        <f>'Site tool'!F40</f>
        <v/>
      </c>
      <c r="F15" s="18">
        <f>E15/D15-1</f>
        <v/>
      </c>
    </row>
    <row r="16">
      <c r="B16" t="inlineStr">
        <is>
          <t>Hot desert</t>
        </is>
      </c>
      <c r="C16" t="inlineStr">
        <is>
          <t>Exhaust temperature, °C</t>
        </is>
      </c>
      <c r="D16" s="20" t="n">
        <v>598.6244047245948</v>
      </c>
      <c r="E16" s="20">
        <f>'Site tool'!F41</f>
        <v/>
      </c>
      <c r="F16" s="21">
        <f>E16-D16</f>
        <v/>
      </c>
    </row>
    <row r="17">
      <c r="B17" t="inlineStr">
        <is>
          <t>Tropical coast</t>
        </is>
      </c>
      <c r="C17" t="inlineStr">
        <is>
          <t>Output, MW</t>
        </is>
      </c>
      <c r="D17" s="17" t="n">
        <v>10.54869247461472</v>
      </c>
      <c r="E17" s="17">
        <f>'Site tool'!G36</f>
        <v/>
      </c>
      <c r="F17" s="18">
        <f>E17/D17-1</f>
        <v/>
      </c>
    </row>
    <row r="18">
      <c r="B18" t="inlineStr">
        <is>
          <t>Tropical coast</t>
        </is>
      </c>
      <c r="C18" t="inlineStr">
        <is>
          <t>Heat rate, kJ/kWh</t>
        </is>
      </c>
      <c r="D18" s="19" t="n">
        <v>11074.21746685397</v>
      </c>
      <c r="E18" s="19">
        <f>'Site tool'!G37</f>
        <v/>
      </c>
      <c r="F18" s="18">
        <f>E18/D18-1</f>
        <v/>
      </c>
    </row>
    <row r="19">
      <c r="B19" t="inlineStr">
        <is>
          <t>Tropical coast</t>
        </is>
      </c>
      <c r="C19" t="inlineStr">
        <is>
          <t>Exhaust flow, kg/s</t>
        </is>
      </c>
      <c r="D19" s="17" t="n">
        <v>34.95200799323936</v>
      </c>
      <c r="E19" s="17">
        <f>'Site tool'!G40</f>
        <v/>
      </c>
      <c r="F19" s="18">
        <f>E19/D19-1</f>
        <v/>
      </c>
    </row>
    <row r="20">
      <c r="B20" t="inlineStr">
        <is>
          <t>Tropical coast</t>
        </is>
      </c>
      <c r="C20" t="inlineStr">
        <is>
          <t>Exhaust temperature, °C</t>
        </is>
      </c>
      <c r="D20" s="20" t="n">
        <v>579.7550550817107</v>
      </c>
      <c r="E20" s="20">
        <f>'Site tool'!G41</f>
        <v/>
      </c>
      <c r="F20" s="21">
        <f>E20-D20</f>
        <v/>
      </c>
    </row>
    <row r="21">
      <c r="B21" t="inlineStr">
        <is>
          <t>Cold, elevated</t>
        </is>
      </c>
      <c r="C21" t="inlineStr">
        <is>
          <t>Output, MW</t>
        </is>
      </c>
      <c r="D21" s="17" t="n">
        <v>13.094553465991</v>
      </c>
      <c r="E21" s="17">
        <f>'Site tool'!H36</f>
        <v/>
      </c>
      <c r="F21" s="18">
        <f>E21/D21-1</f>
        <v/>
      </c>
    </row>
    <row r="22">
      <c r="B22" t="inlineStr">
        <is>
          <t>Cold, elevated</t>
        </is>
      </c>
      <c r="C22" t="inlineStr">
        <is>
          <t>Heat rate, kJ/kWh</t>
        </is>
      </c>
      <c r="D22" s="19" t="n">
        <v>9908.158339167248</v>
      </c>
      <c r="E22" s="19">
        <f>'Site tool'!H37</f>
        <v/>
      </c>
      <c r="F22" s="18">
        <f>E22/D22-1</f>
        <v/>
      </c>
    </row>
    <row r="23">
      <c r="B23" t="inlineStr">
        <is>
          <t>Cold, elevated</t>
        </is>
      </c>
      <c r="C23" t="inlineStr">
        <is>
          <t>Exhaust flow, kg/s</t>
        </is>
      </c>
      <c r="D23" s="17" t="n">
        <v>39.11173024484501</v>
      </c>
      <c r="E23" s="17">
        <f>'Site tool'!H40</f>
        <v/>
      </c>
      <c r="F23" s="18">
        <f>E23/D23-1</f>
        <v/>
      </c>
    </row>
    <row r="24">
      <c r="B24" t="inlineStr">
        <is>
          <t>Cold, elevated</t>
        </is>
      </c>
      <c r="C24" t="inlineStr">
        <is>
          <t>Exhaust temperature, °C</t>
        </is>
      </c>
      <c r="D24" s="20" t="n">
        <v>521.3994261684024</v>
      </c>
      <c r="E24" s="20">
        <f>'Site tool'!H41</f>
        <v/>
      </c>
      <c r="F24" s="21">
        <f>E24-D24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2" t="inlineStr">
        <is>
          <t>gtperf site performance tool</t>
        </is>
      </c>
    </row>
    <row r="2">
      <c r="A2" s="23" t="inlineStr">
        <is>
          <t xml:space="preserve">Engine: SGT-400 13 MW (public datasheet). </t>
        </is>
      </c>
    </row>
    <row r="3">
      <c r="A3" s="23" t="inlineStr"/>
    </row>
    <row r="4">
      <c r="A4" s="24" t="inlineStr">
        <is>
          <t>Method</t>
        </is>
      </c>
    </row>
    <row r="5">
      <c r="A5" s="23" t="inlineStr">
        <is>
          <t>The Tables sheet holds corrections computed from the calibrated gtperf off-design model at sea level, every 5 °C from -20 to 50 °C:</t>
        </is>
      </c>
    </row>
    <row r="6">
      <c r="A6" s="23" t="inlineStr">
        <is>
          <t xml:space="preserve">  t_*: output, heat rate and exhaust flow as ratios to ISO, exhaust temperature as a change in K.</t>
        </is>
      </c>
    </row>
    <row r="7">
      <c r="A7" s="23" t="inlineStr">
        <is>
          <t xml:space="preserve">  rh_*, inlet_*, exhaust_*: linear sensitivities to humidity and to inlet and exhaust pressure loss.</t>
        </is>
      </c>
    </row>
    <row r="8">
      <c r="A8" s="23" t="inlineStr">
        <is>
          <t>Altitude is applied as the ISA pressure ratio delta (output and flow scale with delta, heat rate and exhaust temperature do not), which is exact for dry air by similarity.</t>
        </is>
      </c>
    </row>
    <row r="9">
      <c r="A9" s="23" t="inlineStr">
        <is>
          <t>Losses are divided by delta because their effect depends on the loss as a fraction of ambient pressure.</t>
        </is>
      </c>
    </row>
    <row r="10">
      <c r="A10" s="23" t="inlineStr">
        <is>
          <t>Effects are applied in a fixed order and multiplied, matching gtperf.site.site_performance.</t>
        </is>
      </c>
    </row>
    <row r="11">
      <c r="A11" s="23" t="inlineStr"/>
    </row>
    <row r="12">
      <c r="A12" s="24" t="inlineStr">
        <is>
          <t>Limits</t>
        </is>
      </c>
    </row>
    <row r="13">
      <c r="A13" s="23" t="inlineStr">
        <is>
          <t>Base load, natural gas as calibrated, new and clean unless degradation is entered. Fuel changes, part load and transient behaviour need the full model.</t>
        </is>
      </c>
    </row>
    <row r="14">
      <c r="A14" s="23" t="inlineStr"/>
    </row>
    <row r="15">
      <c r="A15" s="24" t="inlineStr">
        <is>
          <t>Regenerating</t>
        </is>
      </c>
    </row>
    <row r="16">
      <c r="A16" s="25" t="inlineStr">
        <is>
          <t>gtperf excel examples/sgt400_13mw.toml gtperf_site_tool.xlsx</t>
        </is>
      </c>
    </row>
    <row r="17">
      <c r="A17" s="23" t="inlineStr"/>
    </row>
    <row r="18">
      <c r="A18" s="24" t="inlineStr">
        <is>
          <t>VBA module (optional)</t>
        </is>
      </c>
    </row>
    <row r="19">
      <c r="A19" s="23" t="inlineStr">
        <is>
          <t>excel/gtperf.bas adds worksheet functions (GT_INTERP, GT_ISA_PRESSURE, GT_SITE_POWER and others) and a RunFullModel macro that sends each case to the Python model and writes the results under the sheet. Import it with Alt+F11, File &gt; Import File, then save as .xlsm.</t>
        </is>
      </c>
    </row>
    <row r="20">
      <c r="A20" s="23" t="inlineStr"/>
    </row>
    <row r="21">
      <c r="A21" s="26" t="inlineStr">
        <is>
          <t>All engine data are from public datasheets or synthetic. Not for commercial use.</t>
        </is>
      </c>
    </row>
    <row r="22">
      <c r="A22" s="23" t="inlineStr"/>
    </row>
    <row r="23">
      <c r="A23" s="24" t="inlineStr">
        <is>
          <t>Settings for RunFullModel</t>
        </is>
      </c>
    </row>
    <row r="24">
      <c r="A24" s="6" t="inlineStr">
        <is>
          <t>gtperf command</t>
        </is>
      </c>
    </row>
    <row r="25">
      <c r="A25" s="27" t="inlineStr">
        <is>
          <t>gtperf</t>
        </is>
      </c>
    </row>
    <row r="26">
      <c r="A26" s="6" t="inlineStr">
        <is>
          <t>Datasheet file</t>
        </is>
      </c>
    </row>
    <row r="27">
      <c r="A27" s="27" t="inlineStr">
        <is>
          <t>/home/claude/gtperf/examples/sgt400_13mw.toml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gtperf</dc:creator>
  <dc:title xmlns:dc="http://purl.org/dc/elements/1.1/">gtperf site performance: SGT-400 13 MW (public datasheet)</dc:title>
  <dcterms:created xmlns:dcterms="http://purl.org/dc/terms/" xmlns:xsi="http://www.w3.org/2001/XMLSchema-instance" xsi:type="dcterms:W3CDTF">2026-10-19T08:42:58Z</dcterms:created>
  <dcterms:modified xmlns:dcterms="http://purl.org/dc/terms/" xmlns:xsi="http://www.w3.org/2001/XMLSchema-instance" xsi:type="dcterms:W3CDTF">2026-10-19T08:42:59Z</dcterms:modified>
</cp:coreProperties>
</file>
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tool" sheetId="1" state="visible" r:id="rId1"/>
    <sheet xmlns:r="http://schemas.openxmlformats.org/officeDocument/2006/relationships" name="Tables" sheetId="2" state="visible" r:id="rId2"/>
    <sheet xmlns:r="http://schemas.openxmlformats.org/officeDocument/2006/relationships" name="Check" sheetId="3" state="visible" r:id="rId3"/>
    <sheet xmlns:r="http://schemas.openxmlformats.org/officeDocument/2006/relationships" name="About" sheetId="4" state="visible" r:id="rId4"/>
  </sheets>
  <definedNames>
    <definedName name="T_GRID">Tables!$A$2:$A$16</definedName>
    <definedName name="T_POWER">Tables!$B$2:$B$16</definedName>
    <definedName name="T_HEAT_RATE">Tables!$C$2:$C$16</definedName>
    <definedName name="T_EXHAUST_FLOW">Tables!$D$2:$D$16</definedName>
    <definedName name="T_EXHAUST_TEMP">Tables!$E$2:$E$16</definedName>
    <definedName name="RH_POWER">Tables!$F$2:$F$16</definedName>
    <definedName name="RH_HEAT_RATE">Tables!$G$2:$G$16</definedName>
    <definedName name="RH_EXHAUST_FLOW">Tables!$H$2:$H$16</definedName>
    <definedName name="RH_EXHAUST_TEMP">Tables!$I$2:$I$16</definedName>
    <definedName name="INLET_POWER">Tables!$J$2:$J$16</definedName>
    <definedName name="INLET_HEAT_RATE">Tables!$K$2:$K$16</definedName>
    <definedName name="INLET_EXHAUST_FLOW">Tables!$L$2:$L$16</definedName>
    <definedName name="INLET_EXHAUST_TEMP">Tables!$M$2:$M$16</definedName>
    <definedName name="EXHAUST_POWER">Tables!$N$2:$N$16</definedName>
    <definedName name="EXHAUST_HEAT_RATE">Tables!$O$2:$O$16</definedName>
    <definedName name="EXHAUST_EXHAUST_FLOW">Tables!$P$2:$P$16</definedName>
    <definedName name="EXHAUST_EXHAUST_TEMP">Tables!$Q$2:$Q$16</definedName>
    <definedName name="ISO_POWER_MW">Tables!$A$21</definedName>
    <definedName name="ISO_HEAT_RATE">Tables!$B$21</definedName>
    <definedName name="ISO_EXHAUST_FLOW">Tables!$C$21</definedName>
    <definedName name="ISO_EXHAUST_TEMP_C">Tables!$D$21</definedName>
    <definedName name="GTPERF_COMMAND">About!$A$25</definedName>
    <definedName name="DATASHEET_PATH">About!$A$27</definedName>
    <definedName name="_xlnm.Print_Area" localSheetId="0">'Site tool'!$B$1:$H$43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"/>
    <numFmt numFmtId="165" formatCode="0.0"/>
    <numFmt numFmtId="166" formatCode="0.0000"/>
    <numFmt numFmtId="167" formatCode="0.000"/>
    <numFmt numFmtId="168" formatCode="#,##0.0"/>
    <numFmt numFmtId="169" formatCode="0.0 &quot;K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52514E"/>
    </font>
    <font>
      <name val="Calibri"/>
      <b val="1"/>
      <color rgb="000B0B0B"/>
    </font>
    <font>
      <name val="Calibri"/>
      <b val="1"/>
      <color rgb="000B0B0B"/>
      <sz val="14"/>
    </font>
    <font>
      <name val="Calibri"/>
      <color rgb="000B0B0B"/>
    </font>
    <font>
      <name val="Calibri"/>
      <color rgb="0052514E"/>
    </font>
    <font>
      <name val="Calibri"/>
      <b val="1"/>
      <color rgb="000B0B0B"/>
      <sz val="13"/>
    </font>
    <font>
      <name val="Consolas"/>
      <color rgb="000B0B0B"/>
    </font>
  </fonts>
  <fills count="4">
    <fill>
      <patternFill/>
    </fill>
    <fill>
      <patternFill patternType="gray125"/>
    </fill>
    <fill>
      <patternFill patternType="solid">
        <fgColor rgb="00184F95"/>
      </patternFill>
    </fill>
    <fill>
      <patternFill patternType="solid">
        <fgColor rgb="00DCEAFB"/>
      </patternFill>
    </fill>
  </fills>
  <borders count="2">
    <border>
      <left/>
      <right/>
      <top/>
      <bottom/>
      <diagonal/>
    </border>
    <border>
      <left style="thin">
        <color rgb="00E4E3DF"/>
      </left>
      <right style="thin">
        <color rgb="00E4E3DF"/>
      </right>
      <top style="thin">
        <color rgb="00E4E3DF"/>
      </top>
      <bottom style="thin">
        <color rgb="00E4E3D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0" fillId="3" borderId="1" applyAlignment="1" pivotButton="0" quotePrefix="0" xfId="0">
      <alignment horizontal="center" wrapText="1"/>
    </xf>
    <xf numFmtId="165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164" fontId="0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H4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B1" s="1" t="inlineStr">
        <is>
          <t>Site performance: SGT-400 13 MW (public datasheet)</t>
        </is>
      </c>
    </row>
    <row r="2">
      <c r="B2" s="2" t="inlineStr">
        <is>
          <t>Blue cells are inputs. Results use correction curves from the calibrated gtperf model; see the Check sheet for their error against the full model.</t>
        </is>
      </c>
    </row>
    <row r="4">
      <c r="B4" s="3" t="inlineStr">
        <is>
          <t>Case</t>
        </is>
      </c>
      <c r="C4" s="4" t="n"/>
      <c r="D4" s="4" t="n"/>
      <c r="E4" s="4" t="n"/>
      <c r="F4" s="4" t="n"/>
      <c r="G4" s="4" t="n"/>
      <c r="H4" s="4" t="n"/>
    </row>
    <row r="5">
      <c r="B5" s="5" t="inlineStr">
        <is>
          <t>Case name</t>
        </is>
      </c>
      <c r="C5" s="6" t="inlineStr"/>
      <c r="D5" s="7" t="inlineStr">
        <is>
          <t>ISO</t>
        </is>
      </c>
      <c r="E5" s="7" t="inlineStr">
        <is>
          <t>Temperate, sea level</t>
        </is>
      </c>
      <c r="F5" s="7" t="inlineStr">
        <is>
          <t>Hot desert</t>
        </is>
      </c>
      <c r="G5" s="7" t="inlineStr">
        <is>
          <t>Tropical coast</t>
        </is>
      </c>
      <c r="H5" s="7" t="inlineStr">
        <is>
          <t>Cold, elevated</t>
        </is>
      </c>
    </row>
    <row r="6">
      <c r="B6" s="3" t="inlineStr">
        <is>
          <t>Site conditions</t>
        </is>
      </c>
      <c r="C6" s="4" t="n"/>
      <c r="D6" s="4" t="n"/>
      <c r="E6" s="4" t="n"/>
      <c r="F6" s="4" t="n"/>
      <c r="G6" s="4" t="n"/>
      <c r="H6" s="4" t="n"/>
    </row>
    <row r="7">
      <c r="B7" s="5" t="inlineStr">
        <is>
          <t>Ambient temperature</t>
        </is>
      </c>
      <c r="C7" s="6" t="inlineStr">
        <is>
          <t>°C</t>
        </is>
      </c>
      <c r="D7" s="8" t="n">
        <v>15</v>
      </c>
      <c r="E7" s="8" t="n">
        <v>10</v>
      </c>
      <c r="F7" s="8" t="n">
        <v>45</v>
      </c>
      <c r="G7" s="8" t="n">
        <v>32</v>
      </c>
      <c r="H7" s="8" t="n">
        <v>-10</v>
      </c>
    </row>
    <row r="8">
      <c r="B8" s="5" t="inlineStr">
        <is>
          <t>Site altitude</t>
        </is>
      </c>
      <c r="C8" s="6" t="inlineStr">
        <is>
          <t>m</t>
        </is>
      </c>
      <c r="D8" s="9" t="n">
        <v>0</v>
      </c>
      <c r="E8" s="9" t="n">
        <v>30</v>
      </c>
      <c r="F8" s="9" t="n">
        <v>300</v>
      </c>
      <c r="G8" s="9" t="n">
        <v>10</v>
      </c>
      <c r="H8" s="9" t="n">
        <v>1500</v>
      </c>
    </row>
    <row r="9">
      <c r="B9" s="5" t="inlineStr">
        <is>
          <t>Relative humidity</t>
        </is>
      </c>
      <c r="C9" s="6" t="inlineStr">
        <is>
          <t>%</t>
        </is>
      </c>
      <c r="D9" s="9" t="n">
        <v>60</v>
      </c>
      <c r="E9" s="9" t="n">
        <v>80</v>
      </c>
      <c r="F9" s="9" t="n">
        <v>20</v>
      </c>
      <c r="G9" s="9" t="n">
        <v>85</v>
      </c>
      <c r="H9" s="9" t="n">
        <v>60</v>
      </c>
    </row>
    <row r="10">
      <c r="B10" s="5" t="inlineStr">
        <is>
          <t>Inlet pressure loss</t>
        </is>
      </c>
      <c r="C10" s="6" t="inlineStr">
        <is>
          <t>mbar</t>
        </is>
      </c>
      <c r="D10" s="8" t="n">
        <v>0</v>
      </c>
      <c r="E10" s="8" t="n">
        <v>8</v>
      </c>
      <c r="F10" s="8" t="n">
        <v>10</v>
      </c>
      <c r="G10" s="8" t="n">
        <v>8</v>
      </c>
      <c r="H10" s="8" t="n">
        <v>8</v>
      </c>
    </row>
    <row r="11">
      <c r="B11" s="5" t="inlineStr">
        <is>
          <t>Exhaust pressure loss</t>
        </is>
      </c>
      <c r="C11" s="6" t="inlineStr">
        <is>
          <t>mbar</t>
        </is>
      </c>
      <c r="D11" s="8" t="n">
        <v>0</v>
      </c>
      <c r="E11" s="8" t="n">
        <v>15</v>
      </c>
      <c r="F11" s="8" t="n">
        <v>25</v>
      </c>
      <c r="G11" s="8" t="n">
        <v>20</v>
      </c>
      <c r="H11" s="8" t="n">
        <v>15</v>
      </c>
    </row>
    <row r="12">
      <c r="B12" s="5" t="inlineStr">
        <is>
          <t>Degradation, output</t>
        </is>
      </c>
      <c r="C12" s="6" t="inlineStr">
        <is>
          <t>%</t>
        </is>
      </c>
      <c r="D12" s="8" t="n">
        <v>0</v>
      </c>
      <c r="E12" s="8" t="n">
        <v>0</v>
      </c>
      <c r="F12" s="8" t="n">
        <v>0</v>
      </c>
      <c r="G12" s="8" t="n">
        <v>0</v>
      </c>
      <c r="H12" s="8" t="n">
        <v>2</v>
      </c>
    </row>
    <row r="13">
      <c r="B13" s="5" t="inlineStr">
        <is>
          <t>Degradation, heat rate</t>
        </is>
      </c>
      <c r="C13" s="6" t="inlineStr">
        <is>
          <t>%</t>
        </is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1</v>
      </c>
    </row>
    <row r="14">
      <c r="B14" s="3" t="inlineStr">
        <is>
          <t>Derived</t>
        </is>
      </c>
      <c r="C14" s="4" t="n"/>
      <c r="D14" s="4" t="n"/>
      <c r="E14" s="4" t="n"/>
      <c r="F14" s="4" t="n"/>
      <c r="G14" s="4" t="n"/>
      <c r="H14" s="4" t="n"/>
    </row>
    <row r="15">
      <c r="B15" s="5" t="inlineStr">
        <is>
          <t>Ambient pressure (ISA)</t>
        </is>
      </c>
      <c r="C15" s="6" t="inlineStr">
        <is>
          <t>mbar</t>
        </is>
      </c>
      <c r="D15" s="10">
        <f>1013.25*(1-2.25577E-5*D8)^5.25588</f>
        <v/>
      </c>
      <c r="E15" s="10">
        <f>1013.25*(1-2.25577E-5*E8)^5.25588</f>
        <v/>
      </c>
      <c r="F15" s="10">
        <f>1013.25*(1-2.25577E-5*F8)^5.25588</f>
        <v/>
      </c>
      <c r="G15" s="10">
        <f>1013.25*(1-2.25577E-5*G8)^5.25588</f>
        <v/>
      </c>
      <c r="H15" s="10">
        <f>1013.25*(1-2.25577E-5*H8)^5.25588</f>
        <v/>
      </c>
    </row>
    <row r="16">
      <c r="B16" s="5" t="inlineStr">
        <is>
          <t>Pressure ratio to ISO, delta</t>
        </is>
      </c>
      <c r="C16" s="6" t="inlineStr">
        <is>
          <t>-</t>
        </is>
      </c>
      <c r="D16" s="11">
        <f>D15/1013.25</f>
        <v/>
      </c>
      <c r="E16" s="11">
        <f>E15/1013.25</f>
        <v/>
      </c>
      <c r="F16" s="11">
        <f>F15/1013.25</f>
        <v/>
      </c>
      <c r="G16" s="11">
        <f>G15/1013.25</f>
        <v/>
      </c>
      <c r="H16" s="11">
        <f>H15/1013.25</f>
        <v/>
      </c>
    </row>
    <row r="17">
      <c r="B17" s="3" t="inlineStr">
        <is>
          <t>Correction factors (site = ISO x product)</t>
        </is>
      </c>
      <c r="C17" s="4" t="n"/>
      <c r="D17" s="4" t="n"/>
      <c r="E17" s="4" t="n"/>
      <c r="F17" s="4" t="n"/>
      <c r="G17" s="4" t="n"/>
      <c r="H17" s="4" t="n"/>
    </row>
    <row r="18">
      <c r="B18" s="5" t="inlineStr">
        <is>
          <t>Temperature, output</t>
        </is>
      </c>
      <c r="C18" s="6" t="inlineStr">
        <is>
          <t>-</t>
        </is>
      </c>
      <c r="D18" s="11">
        <f>FORECAST(D7,OFFSET(T_POWER,MIN(IFERROR(MATCH(D7,T_GRID,1),1),ROWS(T_GRID)-1)-1,0,2,1),OFFSET(T_GRID,MIN(IFERROR(MATCH(D7,T_GRID,1),1),ROWS(T_GRID)-1)-1,0,2,1))</f>
        <v/>
      </c>
      <c r="E18" s="11">
        <f>FORECAST(E7,OFFSET(T_POWER,MIN(IFERROR(MATCH(E7,T_GRID,1),1),ROWS(T_GRID)-1)-1,0,2,1),OFFSET(T_GRID,MIN(IFERROR(MATCH(E7,T_GRID,1),1),ROWS(T_GRID)-1)-1,0,2,1))</f>
        <v/>
      </c>
      <c r="F18" s="11">
        <f>FORECAST(F7,OFFSET(T_POWER,MIN(IFERROR(MATCH(F7,T_GRID,1),1),ROWS(T_GRID)-1)-1,0,2,1),OFFSET(T_GRID,MIN(IFERROR(MATCH(F7,T_GRID,1),1),ROWS(T_GRID)-1)-1,0,2,1))</f>
        <v/>
      </c>
      <c r="G18" s="11">
        <f>FORECAST(G7,OFFSET(T_POWER,MIN(IFERROR(MATCH(G7,T_GRID,1),1),ROWS(T_GRID)-1)-1,0,2,1),OFFSET(T_GRID,MIN(IFERROR(MATCH(G7,T_GRID,1),1),ROWS(T_GRID)-1)-1,0,2,1))</f>
        <v/>
      </c>
      <c r="H18" s="11">
        <f>FORECAST(H7,OFFSET(T_POWER,MIN(IFERROR(MATCH(H7,T_GRID,1),1),ROWS(T_GRID)-1)-1,0,2,1),OFFSET(T_GRID,MIN(IFERROR(MATCH(H7,T_GRID,1),1),ROWS(T_GRID)-1)-1,0,2,1))</f>
        <v/>
      </c>
    </row>
    <row r="19">
      <c r="B19" s="5" t="inlineStr">
        <is>
          <t>Altitude, output</t>
        </is>
      </c>
      <c r="C19" s="6" t="inlineStr">
        <is>
          <t>-</t>
        </is>
      </c>
      <c r="D19" s="11">
        <f>D16</f>
        <v/>
      </c>
      <c r="E19" s="11">
        <f>E16</f>
        <v/>
      </c>
      <c r="F19" s="11">
        <f>F16</f>
        <v/>
      </c>
      <c r="G19" s="11">
        <f>G16</f>
        <v/>
      </c>
      <c r="H19" s="11">
        <f>H16</f>
        <v/>
      </c>
    </row>
    <row r="20">
      <c r="B20" s="5" t="inlineStr">
        <is>
          <t>Humidity, output</t>
        </is>
      </c>
      <c r="C20" s="6" t="inlineStr">
        <is>
          <t>-</t>
        </is>
      </c>
      <c r="D20" s="11">
        <f>1+FORECAST(D7,OFFSET(RH_POWER,MIN(IFERROR(MATCH(D7,T_GRID,1),1),ROWS(T_GRID)-1)-1,0,2,1),OFFSET(T_GRID,MIN(IFERROR(MATCH(D7,T_GRID,1),1),ROWS(T_GRID)-1)-1,0,2,1))*(D9/100-0.6)</f>
        <v/>
      </c>
      <c r="E20" s="11">
        <f>1+FORECAST(E7,OFFSET(RH_POWER,MIN(IFERROR(MATCH(E7,T_GRID,1),1),ROWS(T_GRID)-1)-1,0,2,1),OFFSET(T_GRID,MIN(IFERROR(MATCH(E7,T_GRID,1),1),ROWS(T_GRID)-1)-1,0,2,1))*(E9/100-0.6)</f>
        <v/>
      </c>
      <c r="F20" s="11">
        <f>1+FORECAST(F7,OFFSET(RH_POWER,MIN(IFERROR(MATCH(F7,T_GRID,1),1),ROWS(T_GRID)-1)-1,0,2,1),OFFSET(T_GRID,MIN(IFERROR(MATCH(F7,T_GRID,1),1),ROWS(T_GRID)-1)-1,0,2,1))*(F9/100-0.6)</f>
        <v/>
      </c>
      <c r="G20" s="11">
        <f>1+FORECAST(G7,OFFSET(RH_POWER,MIN(IFERROR(MATCH(G7,T_GRID,1),1),ROWS(T_GRID)-1)-1,0,2,1),OFFSET(T_GRID,MIN(IFERROR(MATCH(G7,T_GRID,1),1),ROWS(T_GRID)-1)-1,0,2,1))*(G9/100-0.6)</f>
        <v/>
      </c>
      <c r="H20" s="11">
        <f>1+FORECAST(H7,OFFSET(RH_POWER,MIN(IFERROR(MATCH(H7,T_GRID,1),1),ROWS(T_GRID)-1)-1,0,2,1),OFFSET(T_GRID,MIN(IFERROR(MATCH(H7,T_GRID,1),1),ROWS(T_GRID)-1)-1,0,2,1))*(H9/100-0.6)</f>
        <v/>
      </c>
    </row>
    <row r="21">
      <c r="B21" s="5" t="inlineStr">
        <is>
          <t>Inlet loss, output</t>
        </is>
      </c>
      <c r="C21" s="6" t="inlineStr">
        <is>
          <t>-</t>
        </is>
      </c>
      <c r="D21" s="11">
        <f>1+FORECAST(D7,OFFSET(INLET_POWER,MIN(IFERROR(MATCH(D7,T_GRID,1),1),ROWS(T_GRID)-1)-1,0,2,1),OFFSET(T_GRID,MIN(IFERROR(MATCH(D7,T_GRID,1),1),ROWS(T_GRID)-1)-1,0,2,1))*D10</f>
        <v/>
      </c>
      <c r="E21" s="11">
        <f>1+FORECAST(E7,OFFSET(INLET_POWER,MIN(IFERROR(MATCH(E7,T_GRID,1),1),ROWS(T_GRID)-1)-1,0,2,1),OFFSET(T_GRID,MIN(IFERROR(MATCH(E7,T_GRID,1),1),ROWS(T_GRID)-1)-1,0,2,1))*E10</f>
        <v/>
      </c>
      <c r="F21" s="11">
        <f>1+FORECAST(F7,OFFSET(INLET_POWER,MIN(IFERROR(MATCH(F7,T_GRID,1),1),ROWS(T_GRID)-1)-1,0,2,1),OFFSET(T_GRID,MIN(IFERROR(MATCH(F7,T_GRID,1),1),ROWS(T_GRID)-1)-1,0,2,1))*F10</f>
        <v/>
      </c>
      <c r="G21" s="11">
        <f>1+FORECAST(G7,OFFSET(INLET_POWER,MIN(IFERROR(MATCH(G7,T_GRID,1),1),ROWS(T_GRID)-1)-1,0,2,1),OFFSET(T_GRID,MIN(IFERROR(MATCH(G7,T_GRID,1),1),ROWS(T_GRID)-1)-1,0,2,1))*G10</f>
        <v/>
      </c>
      <c r="H21" s="11">
        <f>1+FORECAST(H7,OFFSET(INLET_POWER,MIN(IFERROR(MATCH(H7,T_GRID,1),1),ROWS(T_GRID)-1)-1,0,2,1),OFFSET(T_GRID,MIN(IFERROR(MATCH(H7,T_GRID,1),1),ROWS(T_GRID)-1)-1,0,2,1))*H10</f>
        <v/>
      </c>
    </row>
    <row r="22">
      <c r="B22" s="5" t="inlineStr">
        <is>
          <t>Exhaust loss, output</t>
        </is>
      </c>
      <c r="C22" s="6" t="inlineStr">
        <is>
          <t>-</t>
        </is>
      </c>
      <c r="D22" s="11">
        <f>1+FORECAST(D7,OFFSET(EXHAUST_POWER,MIN(IFERROR(MATCH(D7,T_GRID,1),1),ROWS(T_GRID)-1)-1,0,2,1),OFFSET(T_GRID,MIN(IFERROR(MATCH(D7,T_GRID,1),1),ROWS(T_GRID)-1)-1,0,2,1))*D11</f>
        <v/>
      </c>
      <c r="E22" s="11">
        <f>1+FORECAST(E7,OFFSET(EXHAUST_POWER,MIN(IFERROR(MATCH(E7,T_GRID,1),1),ROWS(T_GRID)-1)-1,0,2,1),OFFSET(T_GRID,MIN(IFERROR(MATCH(E7,T_GRID,1),1),ROWS(T_GRID)-1)-1,0,2,1))*E11</f>
        <v/>
      </c>
      <c r="F22" s="11">
        <f>1+FORECAST(F7,OFFSET(EXHAUST_POWER,MIN(IFERROR(MATCH(F7,T_GRID,1),1),ROWS(T_GRID)-1)-1,0,2,1),OFFSET(T_GRID,MIN(IFERROR(MATCH(F7,T_GRID,1),1),ROWS(T_GRID)-1)-1,0,2,1))*F11</f>
        <v/>
      </c>
      <c r="G22" s="11">
        <f>1+FORECAST(G7,OFFSET(EXHAUST_POWER,MIN(IFERROR(MATCH(G7,T_GRID,1),1),ROWS(T_GRID)-1)-1,0,2,1),OFFSET(T_GRID,MIN(IFERROR(MATCH(G7,T_GRID,1),1),ROWS(T_GRID)-1)-1,0,2,1))*G11</f>
        <v/>
      </c>
      <c r="H22" s="11">
        <f>1+FORECAST(H7,OFFSET(EXHAUST_POWER,MIN(IFERROR(MATCH(H7,T_GRID,1),1),ROWS(T_GRID)-1)-1,0,2,1),OFFSET(T_GRID,MIN(IFERROR(MATCH(H7,T_GRID,1),1),ROWS(T_GRID)-1)-1,0,2,1))*H11</f>
        <v/>
      </c>
    </row>
    <row r="23">
      <c r="B23" s="5" t="inlineStr">
        <is>
          <t>Temperature, heat rate</t>
        </is>
      </c>
      <c r="C23" s="6" t="inlineStr">
        <is>
          <t>-</t>
        </is>
      </c>
      <c r="D23" s="11">
        <f>FORECAST(D7,OFFSET(T_HEAT_RATE,MIN(IFERROR(MATCH(D7,T_GRID,1),1),ROWS(T_GRID)-1)-1,0,2,1),OFFSET(T_GRID,MIN(IFERROR(MATCH(D7,T_GRID,1),1),ROWS(T_GRID)-1)-1,0,2,1))</f>
        <v/>
      </c>
      <c r="E23" s="11">
        <f>FORECAST(E7,OFFSET(T_HEAT_RATE,MIN(IFERROR(MATCH(E7,T_GRID,1),1),ROWS(T_GRID)-1)-1,0,2,1),OFFSET(T_GRID,MIN(IFERROR(MATCH(E7,T_GRID,1),1),ROWS(T_GRID)-1)-1,0,2,1))</f>
        <v/>
      </c>
      <c r="F23" s="11">
        <f>FORECAST(F7,OFFSET(T_HEAT_RATE,MIN(IFERROR(MATCH(F7,T_GRID,1),1),ROWS(T_GRID)-1)-1,0,2,1),OFFSET(T_GRID,MIN(IFERROR(MATCH(F7,T_GRID,1),1),ROWS(T_GRID)-1)-1,0,2,1))</f>
        <v/>
      </c>
      <c r="G23" s="11">
        <f>FORECAST(G7,OFFSET(T_HEAT_RATE,MIN(IFERROR(MATCH(G7,T_GRID,1),1),ROWS(T_GRID)-1)-1,0,2,1),OFFSET(T_GRID,MIN(IFERROR(MATCH(G7,T_GRID,1),1),ROWS(T_GRID)-1)-1,0,2,1))</f>
        <v/>
      </c>
      <c r="H23" s="11">
        <f>FORECAST(H7,OFFSET(T_HEAT_RATE,MIN(IFERROR(MATCH(H7,T_GRID,1),1),ROWS(T_GRID)-1)-1,0,2,1),OFFSET(T_GRID,MIN(IFERROR(MATCH(H7,T_GRID,1),1),ROWS(T_GRID)-1)-1,0,2,1))</f>
        <v/>
      </c>
    </row>
    <row r="24">
      <c r="B24" s="5" t="inlineStr">
        <is>
          <t>Altitude, heat rate</t>
        </is>
      </c>
      <c r="C24" s="6" t="inlineStr">
        <is>
          <t>-</t>
        </is>
      </c>
      <c r="D24" s="11">
        <f>1</f>
        <v/>
      </c>
      <c r="E24" s="11">
        <f>1</f>
        <v/>
      </c>
      <c r="F24" s="11">
        <f>1</f>
        <v/>
      </c>
      <c r="G24" s="11">
        <f>1</f>
        <v/>
      </c>
      <c r="H24" s="11">
        <f>1</f>
        <v/>
      </c>
    </row>
    <row r="25">
      <c r="B25" s="5" t="inlineStr">
        <is>
          <t>Humidity, heat rate</t>
        </is>
      </c>
      <c r="C25" s="6" t="inlineStr">
        <is>
          <t>-</t>
        </is>
      </c>
      <c r="D25" s="11">
        <f>1+FORECAST(D7,OFFSET(RH_HEAT_RATE,MIN(IFERROR(MATCH(D7,T_GRID,1),1),ROWS(T_GRID)-1)-1,0,2,1),OFFSET(T_GRID,MIN(IFERROR(MATCH(D7,T_GRID,1),1),ROWS(T_GRID)-1)-1,0,2,1))*(D9/100-0.6)</f>
        <v/>
      </c>
      <c r="E25" s="11">
        <f>1+FORECAST(E7,OFFSET(RH_HEAT_RATE,MIN(IFERROR(MATCH(E7,T_GRID,1),1),ROWS(T_GRID)-1)-1,0,2,1),OFFSET(T_GRID,MIN(IFERROR(MATCH(E7,T_GRID,1),1),ROWS(T_GRID)-1)-1,0,2,1))*(E9/100-0.6)</f>
        <v/>
      </c>
      <c r="F25" s="11">
        <f>1+FORECAST(F7,OFFSET(RH_HEAT_RATE,MIN(IFERROR(MATCH(F7,T_GRID,1),1),ROWS(T_GRID)-1)-1,0,2,1),OFFSET(T_GRID,MIN(IFERROR(MATCH(F7,T_GRID,1),1),ROWS(T_GRID)-1)-1,0,2,1))*(F9/100-0.6)</f>
        <v/>
      </c>
      <c r="G25" s="11">
        <f>1+FORECAST(G7,OFFSET(RH_HEAT_RATE,MIN(IFERROR(MATCH(G7,T_GRID,1),1),ROWS(T_GRID)-1)-1,0,2,1),OFFSET(T_GRID,MIN(IFERROR(MATCH(G7,T_GRID,1),1),ROWS(T_GRID)-1)-1,0,2,1))*(G9/100-0.6)</f>
        <v/>
      </c>
      <c r="H25" s="11">
        <f>1+FORECAST(H7,OFFSET(RH_HEAT_RATE,MIN(IFERROR(MATCH(H7,T_GRID,1),1),ROWS(T_GRID)-1)-1,0,2,1),OFFSET(T_GRID,MIN(IFERROR(MATCH(H7,T_GRID,1),1),ROWS(T_GRID)-1)-1,0,2,1))*(H9/100-0.6)</f>
        <v/>
      </c>
    </row>
    <row r="26">
      <c r="B26" s="5" t="inlineStr">
        <is>
          <t>Inlet loss, heat rate</t>
        </is>
      </c>
      <c r="C26" s="6" t="inlineStr">
        <is>
          <t>-</t>
        </is>
      </c>
      <c r="D26" s="11">
        <f>1+FORECAST(D7,OFFSET(INLET_HEAT_RATE,MIN(IFERROR(MATCH(D7,T_GRID,1),1),ROWS(T_GRID)-1)-1,0,2,1),OFFSET(T_GRID,MIN(IFERROR(MATCH(D7,T_GRID,1),1),ROWS(T_GRID)-1)-1,0,2,1))*D10</f>
        <v/>
      </c>
      <c r="E26" s="11">
        <f>1+FORECAST(E7,OFFSET(INLET_HEAT_RATE,MIN(IFERROR(MATCH(E7,T_GRID,1),1),ROWS(T_GRID)-1)-1,0,2,1),OFFSET(T_GRID,MIN(IFERROR(MATCH(E7,T_GRID,1),1),ROWS(T_GRID)-1)-1,0,2,1))*E10</f>
        <v/>
      </c>
      <c r="F26" s="11">
        <f>1+FORECAST(F7,OFFSET(INLET_HEAT_RATE,MIN(IFERROR(MATCH(F7,T_GRID,1),1),ROWS(T_GRID)-1)-1,0,2,1),OFFSET(T_GRID,MIN(IFERROR(MATCH(F7,T_GRID,1),1),ROWS(T_GRID)-1)-1,0,2,1))*F10</f>
        <v/>
      </c>
      <c r="G26" s="11">
        <f>1+FORECAST(G7,OFFSET(INLET_HEAT_RATE,MIN(IFERROR(MATCH(G7,T_GRID,1),1),ROWS(T_GRID)-1)-1,0,2,1),OFFSET(T_GRID,MIN(IFERROR(MATCH(G7,T_GRID,1),1),ROWS(T_GRID)-1)-1,0,2,1))*G10</f>
        <v/>
      </c>
      <c r="H26" s="11">
        <f>1+FORECAST(H7,OFFSET(INLET_HEAT_RATE,MIN(IFERROR(MATCH(H7,T_GRID,1),1),ROWS(T_GRID)-1)-1,0,2,1),OFFSET(T_GRID,MIN(IFERROR(MATCH(H7,T_GRID,1),1),ROWS(T_GRID)-1)-1,0,2,1))*H10</f>
        <v/>
      </c>
    </row>
    <row r="27">
      <c r="B27" s="5" t="inlineStr">
        <is>
          <t>Exhaust loss, heat rate</t>
        </is>
      </c>
      <c r="C27" s="6" t="inlineStr">
        <is>
          <t>-</t>
        </is>
      </c>
      <c r="D27" s="11">
        <f>1+FORECAST(D7,OFFSET(EXHAUST_HEAT_RATE,MIN(IFERROR(MATCH(D7,T_GRID,1),1),ROWS(T_GRID)-1)-1,0,2,1),OFFSET(T_GRID,MIN(IFERROR(MATCH(D7,T_GRID,1),1),ROWS(T_GRID)-1)-1,0,2,1))*D11</f>
        <v/>
      </c>
      <c r="E27" s="11">
        <f>1+FORECAST(E7,OFFSET(EXHAUST_HEAT_RATE,MIN(IFERROR(MATCH(E7,T_GRID,1),1),ROWS(T_GRID)-1)-1,0,2,1),OFFSET(T_GRID,MIN(IFERROR(MATCH(E7,T_GRID,1),1),ROWS(T_GRID)-1)-1,0,2,1))*E11</f>
        <v/>
      </c>
      <c r="F27" s="11">
        <f>1+FORECAST(F7,OFFSET(EXHAUST_HEAT_RATE,MIN(IFERROR(MATCH(F7,T_GRID,1),1),ROWS(T_GRID)-1)-1,0,2,1),OFFSET(T_GRID,MIN(IFERROR(MATCH(F7,T_GRID,1),1),ROWS(T_GRID)-1)-1,0,2,1))*F11</f>
        <v/>
      </c>
      <c r="G27" s="11">
        <f>1+FORECAST(G7,OFFSET(EXHAUST_HEAT_RATE,MIN(IFERROR(MATCH(G7,T_GRID,1),1),ROWS(T_GRID)-1)-1,0,2,1),OFFSET(T_GRID,MIN(IFERROR(MATCH(G7,T_GRID,1),1),ROWS(T_GRID)-1)-1,0,2,1))*G11</f>
        <v/>
      </c>
      <c r="H27" s="11">
        <f>1+FORECAST(H7,OFFSET(EXHAUST_HEAT_RATE,MIN(IFERROR(MATCH(H7,T_GRID,1),1),ROWS(T_GRID)-1)-1,0,2,1),OFFSET(T_GRID,MIN(IFERROR(MATCH(H7,T_GRID,1),1),ROWS(T_GRID)-1)-1,0,2,1))*H11</f>
        <v/>
      </c>
    </row>
    <row r="28">
      <c r="B28" s="5" t="inlineStr">
        <is>
          <t>Temperature, exhaust flow</t>
        </is>
      </c>
      <c r="C28" s="6" t="inlineStr">
        <is>
          <t>-</t>
        </is>
      </c>
      <c r="D28" s="11">
        <f>FORECAST(D7,OFFSET(T_EXHAUST_FLOW,MIN(IFERROR(MATCH(D7,T_GRID,1),1),ROWS(T_GRID)-1)-1,0,2,1),OFFSET(T_GRID,MIN(IFERROR(MATCH(D7,T_GRID,1),1),ROWS(T_GRID)-1)-1,0,2,1))</f>
        <v/>
      </c>
      <c r="E28" s="11">
        <f>FORECAST(E7,OFFSET(T_EXHAUST_FLOW,MIN(IFERROR(MATCH(E7,T_GRID,1),1),ROWS(T_GRID)-1)-1,0,2,1),OFFSET(T_GRID,MIN(IFERROR(MATCH(E7,T_GRID,1),1),ROWS(T_GRID)-1)-1,0,2,1))</f>
        <v/>
      </c>
      <c r="F28" s="11">
        <f>FORECAST(F7,OFFSET(T_EXHAUST_FLOW,MIN(IFERROR(MATCH(F7,T_GRID,1),1),ROWS(T_GRID)-1)-1,0,2,1),OFFSET(T_GRID,MIN(IFERROR(MATCH(F7,T_GRID,1),1),ROWS(T_GRID)-1)-1,0,2,1))</f>
        <v/>
      </c>
      <c r="G28" s="11">
        <f>FORECAST(G7,OFFSET(T_EXHAUST_FLOW,MIN(IFERROR(MATCH(G7,T_GRID,1),1),ROWS(T_GRID)-1)-1,0,2,1),OFFSET(T_GRID,MIN(IFERROR(MATCH(G7,T_GRID,1),1),ROWS(T_GRID)-1)-1,0,2,1))</f>
        <v/>
      </c>
      <c r="H28" s="11">
        <f>FORECAST(H7,OFFSET(T_EXHAUST_FLOW,MIN(IFERROR(MATCH(H7,T_GRID,1),1),ROWS(T_GRID)-1)-1,0,2,1),OFFSET(T_GRID,MIN(IFERROR(MATCH(H7,T_GRID,1),1),ROWS(T_GRID)-1)-1,0,2,1))</f>
        <v/>
      </c>
    </row>
    <row r="29">
      <c r="B29" s="5" t="inlineStr">
        <is>
          <t>Altitude, exhaust flow</t>
        </is>
      </c>
      <c r="C29" s="6" t="inlineStr">
        <is>
          <t>-</t>
        </is>
      </c>
      <c r="D29" s="11">
        <f>D16</f>
        <v/>
      </c>
      <c r="E29" s="11">
        <f>E16</f>
        <v/>
      </c>
      <c r="F29" s="11">
        <f>F16</f>
        <v/>
      </c>
      <c r="G29" s="11">
        <f>G16</f>
        <v/>
      </c>
      <c r="H29" s="11">
        <f>H16</f>
        <v/>
      </c>
    </row>
    <row r="30">
      <c r="B30" s="5" t="inlineStr">
        <is>
          <t>Humidity, exhaust flow</t>
        </is>
      </c>
      <c r="C30" s="6" t="inlineStr">
        <is>
          <t>-</t>
        </is>
      </c>
      <c r="D30" s="11">
        <f>1+FORECAST(D7,OFFSET(RH_EXHAUST_FLOW,MIN(IFERROR(MATCH(D7,T_GRID,1),1),ROWS(T_GRID)-1)-1,0,2,1),OFFSET(T_GRID,MIN(IFERROR(MATCH(D7,T_GRID,1),1),ROWS(T_GRID)-1)-1,0,2,1))*(D9/100-0.6)</f>
        <v/>
      </c>
      <c r="E30" s="11">
        <f>1+FORECAST(E7,OFFSET(RH_EXHAUST_FLOW,MIN(IFERROR(MATCH(E7,T_GRID,1),1),ROWS(T_GRID)-1)-1,0,2,1),OFFSET(T_GRID,MIN(IFERROR(MATCH(E7,T_GRID,1),1),ROWS(T_GRID)-1)-1,0,2,1))*(E9/100-0.6)</f>
        <v/>
      </c>
      <c r="F30" s="11">
        <f>1+FORECAST(F7,OFFSET(RH_EXHAUST_FLOW,MIN(IFERROR(MATCH(F7,T_GRID,1),1),ROWS(T_GRID)-1)-1,0,2,1),OFFSET(T_GRID,MIN(IFERROR(MATCH(F7,T_GRID,1),1),ROWS(T_GRID)-1)-1,0,2,1))*(F9/100-0.6)</f>
        <v/>
      </c>
      <c r="G30" s="11">
        <f>1+FORECAST(G7,OFFSET(RH_EXHAUST_FLOW,MIN(IFERROR(MATCH(G7,T_GRID,1),1),ROWS(T_GRID)-1)-1,0,2,1),OFFSET(T_GRID,MIN(IFERROR(MATCH(G7,T_GRID,1),1),ROWS(T_GRID)-1)-1,0,2,1))*(G9/100-0.6)</f>
        <v/>
      </c>
      <c r="H30" s="11">
        <f>1+FORECAST(H7,OFFSET(RH_EXHAUST_FLOW,MIN(IFERROR(MATCH(H7,T_GRID,1),1),ROWS(T_GRID)-1)-1,0,2,1),OFFSET(T_GRID,MIN(IFERROR(MATCH(H7,T_GRID,1),1),ROWS(T_GRID)-1)-1,0,2,1))*(H9/100-0.6)</f>
        <v/>
      </c>
    </row>
    <row r="31">
      <c r="B31" s="5" t="inlineStr">
        <is>
          <t>Inlet loss, exhaust flow</t>
        </is>
      </c>
      <c r="C31" s="6" t="inlineStr">
        <is>
          <t>-</t>
        </is>
      </c>
      <c r="D31" s="11">
        <f>1+FORECAST(D7,OFFSET(INLET_EXHAUST_FLOW,MIN(IFERROR(MATCH(D7,T_GRID,1),1),ROWS(T_GRID)-1)-1,0,2,1),OFFSET(T_GRID,MIN(IFERROR(MATCH(D7,T_GRID,1),1),ROWS(T_GRID)-1)-1,0,2,1))*D10</f>
        <v/>
      </c>
      <c r="E31" s="11">
        <f>1+FORECAST(E7,OFFSET(INLET_EXHAUST_FLOW,MIN(IFERROR(MATCH(E7,T_GRID,1),1),ROWS(T_GRID)-1)-1,0,2,1),OFFSET(T_GRID,MIN(IFERROR(MATCH(E7,T_GRID,1),1),ROWS(T_GRID)-1)-1,0,2,1))*E10</f>
        <v/>
      </c>
      <c r="F31" s="11">
        <f>1+FORECAST(F7,OFFSET(INLET_EXHAUST_FLOW,MIN(IFERROR(MATCH(F7,T_GRID,1),1),ROWS(T_GRID)-1)-1,0,2,1),OFFSET(T_GRID,MIN(IFERROR(MATCH(F7,T_GRID,1),1),ROWS(T_GRID)-1)-1,0,2,1))*F10</f>
        <v/>
      </c>
      <c r="G31" s="11">
        <f>1+FORECAST(G7,OFFSET(INLET_EXHAUST_FLOW,MIN(IFERROR(MATCH(G7,T_GRID,1),1),ROWS(T_GRID)-1)-1,0,2,1),OFFSET(T_GRID,MIN(IFERROR(MATCH(G7,T_GRID,1),1),ROWS(T_GRID)-1)-1,0,2,1))*G10</f>
        <v/>
      </c>
      <c r="H31" s="11">
        <f>1+FORECAST(H7,OFFSET(INLET_EXHAUST_FLOW,MIN(IFERROR(MATCH(H7,T_GRID,1),1),ROWS(T_GRID)-1)-1,0,2,1),OFFSET(T_GRID,MIN(IFERROR(MATCH(H7,T_GRID,1),1),ROWS(T_GRID)-1)-1,0,2,1))*H10</f>
        <v/>
      </c>
    </row>
    <row r="32">
      <c r="B32" s="5" t="inlineStr">
        <is>
          <t>Exhaust loss, exhaust flow</t>
        </is>
      </c>
      <c r="C32" s="6" t="inlineStr">
        <is>
          <t>-</t>
        </is>
      </c>
      <c r="D32" s="11">
        <f>1+FORECAST(D7,OFFSET(EXHAUST_EXHAUST_FLOW,MIN(IFERROR(MATCH(D7,T_GRID,1),1),ROWS(T_GRID)-1)-1,0,2,1),OFFSET(T_GRID,MIN(IFERROR(MATCH(D7,T_GRID,1),1),ROWS(T_GRID)-1)-1,0,2,1))*D11</f>
        <v/>
      </c>
      <c r="E32" s="11">
        <f>1+FORECAST(E7,OFFSET(EXHAUST_EXHAUST_FLOW,MIN(IFERROR(MATCH(E7,T_GRID,1),1),ROWS(T_GRID)-1)-1,0,2,1),OFFSET(T_GRID,MIN(IFERROR(MATCH(E7,T_GRID,1),1),ROWS(T_GRID)-1)-1,0,2,1))*E11</f>
        <v/>
      </c>
      <c r="F32" s="11">
        <f>1+FORECAST(F7,OFFSET(EXHAUST_EXHAUST_FLOW,MIN(IFERROR(MATCH(F7,T_GRID,1),1),ROWS(T_GRID)-1)-1,0,2,1),OFFSET(T_GRID,MIN(IFERROR(MATCH(F7,T_GRID,1),1),ROWS(T_GRID)-1)-1,0,2,1))*F11</f>
        <v/>
      </c>
      <c r="G32" s="11">
        <f>1+FORECAST(G7,OFFSET(EXHAUST_EXHAUST_FLOW,MIN(IFERROR(MATCH(G7,T_GRID,1),1),ROWS(T_GRID)-1)-1,0,2,1),OFFSET(T_GRID,MIN(IFERROR(MATCH(G7,T_GRID,1),1),ROWS(T_GRID)-1)-1,0,2,1))*G11</f>
        <v/>
      </c>
      <c r="H32" s="11">
        <f>1+FORECAST(H7,OFFSET(EXHAUST_EXHAUST_FLOW,MIN(IFERROR(MATCH(H7,T_GRID,1),1),ROWS(T_GRID)-1)-1,0,2,1),OFFSET(T_GRID,MIN(IFERROR(MATCH(H7,T_GRID,1),1),ROWS(T_GRID)-1)-1,0,2,1))*H11</f>
        <v/>
      </c>
    </row>
    <row r="33">
      <c r="B33" s="5" t="inlineStr">
        <is>
          <t>Degradation factor, output</t>
        </is>
      </c>
      <c r="C33" s="6" t="inlineStr">
        <is>
          <t>-</t>
        </is>
      </c>
      <c r="D33" s="11">
        <f>1-D12/100</f>
        <v/>
      </c>
      <c r="E33" s="11">
        <f>1-E12/100</f>
        <v/>
      </c>
      <c r="F33" s="11">
        <f>1-F12/100</f>
        <v/>
      </c>
      <c r="G33" s="11">
        <f>1-G12/100</f>
        <v/>
      </c>
      <c r="H33" s="11">
        <f>1-H12/100</f>
        <v/>
      </c>
    </row>
    <row r="34">
      <c r="B34" s="5" t="inlineStr">
        <is>
          <t>Degradation factor, heat rate</t>
        </is>
      </c>
      <c r="C34" s="6" t="inlineStr">
        <is>
          <t>-</t>
        </is>
      </c>
      <c r="D34" s="11">
        <f>1+D13/100</f>
        <v/>
      </c>
      <c r="E34" s="11">
        <f>1+E13/100</f>
        <v/>
      </c>
      <c r="F34" s="11">
        <f>1+F13/100</f>
        <v/>
      </c>
      <c r="G34" s="11">
        <f>1+G13/100</f>
        <v/>
      </c>
      <c r="H34" s="11">
        <f>1+H13/100</f>
        <v/>
      </c>
    </row>
    <row r="35">
      <c r="B35" s="3" t="inlineStr">
        <is>
          <t>Site performance</t>
        </is>
      </c>
      <c r="C35" s="4" t="n"/>
      <c r="D35" s="4" t="n"/>
      <c r="E35" s="4" t="n"/>
      <c r="F35" s="4" t="n"/>
      <c r="G35" s="4" t="n"/>
      <c r="H35" s="4" t="n"/>
    </row>
    <row r="36">
      <c r="B36" s="5" t="inlineStr">
        <is>
          <t>Electrical output</t>
        </is>
      </c>
      <c r="C36" s="6" t="inlineStr">
        <is>
          <t>MW</t>
        </is>
      </c>
      <c r="D36" s="12">
        <f>ISO_POWER_MW*D18*D19*D20*D21*D22*D33</f>
        <v/>
      </c>
      <c r="E36" s="12">
        <f>ISO_POWER_MW*E18*E19*E20*E21*E22*E33</f>
        <v/>
      </c>
      <c r="F36" s="12">
        <f>ISO_POWER_MW*F18*F19*F20*F21*F22*F33</f>
        <v/>
      </c>
      <c r="G36" s="12">
        <f>ISO_POWER_MW*G18*G19*G20*G21*G22*G33</f>
        <v/>
      </c>
      <c r="H36" s="12">
        <f>ISO_POWER_MW*H18*H19*H20*H21*H22*H33</f>
        <v/>
      </c>
    </row>
    <row r="37">
      <c r="B37" s="5" t="inlineStr">
        <is>
          <t>Heat rate (LHV)</t>
        </is>
      </c>
      <c r="C37" s="6" t="inlineStr">
        <is>
          <t>kJ/kWh</t>
        </is>
      </c>
      <c r="D37" s="13">
        <f>ISO_HEAT_RATE*D23*D24*D25*D26*D27*D34</f>
        <v/>
      </c>
      <c r="E37" s="13">
        <f>ISO_HEAT_RATE*E23*E24*E25*E26*E27*E34</f>
        <v/>
      </c>
      <c r="F37" s="13">
        <f>ISO_HEAT_RATE*F23*F24*F25*F26*F27*F34</f>
        <v/>
      </c>
      <c r="G37" s="13">
        <f>ISO_HEAT_RATE*G23*G24*G25*G26*G27*G34</f>
        <v/>
      </c>
      <c r="H37" s="13">
        <f>ISO_HEAT_RATE*H23*H24*H25*H26*H27*H34</f>
        <v/>
      </c>
    </row>
    <row r="38">
      <c r="B38" s="5" t="inlineStr">
        <is>
          <t>Thermal efficiency (LHV)</t>
        </is>
      </c>
      <c r="C38" s="6" t="inlineStr">
        <is>
          <t>%</t>
        </is>
      </c>
      <c r="D38" s="12">
        <f>360000/D37</f>
        <v/>
      </c>
      <c r="E38" s="12">
        <f>360000/E37</f>
        <v/>
      </c>
      <c r="F38" s="12">
        <f>360000/F37</f>
        <v/>
      </c>
      <c r="G38" s="12">
        <f>360000/G37</f>
        <v/>
      </c>
      <c r="H38" s="12">
        <f>360000/H37</f>
        <v/>
      </c>
    </row>
    <row r="39">
      <c r="B39" s="5" t="inlineStr">
        <is>
          <t>Fuel heat input (LHV)</t>
        </is>
      </c>
      <c r="C39" s="6" t="inlineStr">
        <is>
          <t>MW</t>
        </is>
      </c>
      <c r="D39" s="12">
        <f>D36*D37/3600</f>
        <v/>
      </c>
      <c r="E39" s="12">
        <f>E36*E37/3600</f>
        <v/>
      </c>
      <c r="F39" s="12">
        <f>F36*F37/3600</f>
        <v/>
      </c>
      <c r="G39" s="12">
        <f>G36*G37/3600</f>
        <v/>
      </c>
      <c r="H39" s="12">
        <f>H36*H37/3600</f>
        <v/>
      </c>
    </row>
    <row r="40">
      <c r="B40" s="5" t="inlineStr">
        <is>
          <t>Exhaust flow</t>
        </is>
      </c>
      <c r="C40" s="6" t="inlineStr">
        <is>
          <t>kg/s</t>
        </is>
      </c>
      <c r="D40" s="12">
        <f>ISO_EXHAUST_FLOW*D28*D29*D30*D31*D32</f>
        <v/>
      </c>
      <c r="E40" s="12">
        <f>ISO_EXHAUST_FLOW*E28*E29*E30*E31*E32</f>
        <v/>
      </c>
      <c r="F40" s="12">
        <f>ISO_EXHAUST_FLOW*F28*F29*F30*F31*F32</f>
        <v/>
      </c>
      <c r="G40" s="12">
        <f>ISO_EXHAUST_FLOW*G28*G29*G30*G31*G32</f>
        <v/>
      </c>
      <c r="H40" s="12">
        <f>ISO_EXHAUST_FLOW*H28*H29*H30*H31*H32</f>
        <v/>
      </c>
    </row>
    <row r="41">
      <c r="B41" s="5" t="inlineStr">
        <is>
          <t>Exhaust temperature</t>
        </is>
      </c>
      <c r="C41" s="6" t="inlineStr">
        <is>
          <t>°C</t>
        </is>
      </c>
      <c r="D41" s="10">
        <f>ISO_EXHAUST_TEMP_C+FORECAST(D7,OFFSET(T_EXHAUST_TEMP,MIN(IFERROR(MATCH(D7,T_GRID,1),1),ROWS(T_GRID)-1)-1,0,2,1),OFFSET(T_GRID,MIN(IFERROR(MATCH(D7,T_GRID,1),1),ROWS(T_GRID)-1)-1,0,2,1))+FORECAST(D7,OFFSET(RH_EXHAUST_TEMP,MIN(IFERROR(MATCH(D7,T_GRID,1),1),ROWS(T_GRID)-1)-1,0,2,1),OFFSET(T_GRID,MIN(IFERROR(MATCH(D7,T_GRID,1),1),ROWS(T_GRID)-1)-1,0,2,1))*(D9/100-0.6)+FORECAST(D7,OFFSET(INLET_EXHAUST_TEMP,MIN(IFERROR(MATCH(D7,T_GRID,1),1),ROWS(T_GRID)-1)-1,0,2,1),OFFSET(T_GRID,MIN(IFERROR(MATCH(D7,T_GRID,1),1),ROWS(T_GRID)-1)-1,0,2,1))*D10+FORECAST(D7,OFFSET(EXHAUST_EXHAUST_TEMP,MIN(IFERROR(MATCH(D7,T_GRID,1),1),ROWS(T_GRID)-1)-1,0,2,1),OFFSET(T_GRID,MIN(IFERROR(MATCH(D7,T_GRID,1),1),ROWS(T_GRID)-1)-1,0,2,1))*D11</f>
        <v/>
      </c>
      <c r="E41" s="10">
        <f>ISO_EXHAUST_TEMP_C+FORECAST(E7,OFFSET(T_EXHAUST_TEMP,MIN(IFERROR(MATCH(E7,T_GRID,1),1),ROWS(T_GRID)-1)-1,0,2,1),OFFSET(T_GRID,MIN(IFERROR(MATCH(E7,T_GRID,1),1),ROWS(T_GRID)-1)-1,0,2,1))+FORECAST(E7,OFFSET(RH_EXHAUST_TEMP,MIN(IFERROR(MATCH(E7,T_GRID,1),1),ROWS(T_GRID)-1)-1,0,2,1),OFFSET(T_GRID,MIN(IFERROR(MATCH(E7,T_GRID,1),1),ROWS(T_GRID)-1)-1,0,2,1))*(E9/100-0.6)+FORECAST(E7,OFFSET(INLET_EXHAUST_TEMP,MIN(IFERROR(MATCH(E7,T_GRID,1),1),ROWS(T_GRID)-1)-1,0,2,1),OFFSET(T_GRID,MIN(IFERROR(MATCH(E7,T_GRID,1),1),ROWS(T_GRID)-1)-1,0,2,1))*E10+FORECAST(E7,OFFSET(EXHAUST_EXHAUST_TEMP,MIN(IFERROR(MATCH(E7,T_GRID,1),1),ROWS(T_GRID)-1)-1,0,2,1),OFFSET(T_GRID,MIN(IFERROR(MATCH(E7,T_GRID,1),1),ROWS(T_GRID)-1)-1,0,2,1))*E11</f>
        <v/>
      </c>
      <c r="F41" s="10">
        <f>ISO_EXHAUST_TEMP_C+FORECAST(F7,OFFSET(T_EXHAUST_TEMP,MIN(IFERROR(MATCH(F7,T_GRID,1),1),ROWS(T_GRID)-1)-1,0,2,1),OFFSET(T_GRID,MIN(IFERROR(MATCH(F7,T_GRID,1),1),ROWS(T_GRID)-1)-1,0,2,1))+FORECAST(F7,OFFSET(RH_EXHAUST_TEMP,MIN(IFERROR(MATCH(F7,T_GRID,1),1),ROWS(T_GRID)-1)-1,0,2,1),OFFSET(T_GRID,MIN(IFERROR(MATCH(F7,T_GRID,1),1),ROWS(T_GRID)-1)-1,0,2,1))*(F9/100-0.6)+FORECAST(F7,OFFSET(INLET_EXHAUST_TEMP,MIN(IFERROR(MATCH(F7,T_GRID,1),1),ROWS(T_GRID)-1)-1,0,2,1),OFFSET(T_GRID,MIN(IFERROR(MATCH(F7,T_GRID,1),1),ROWS(T_GRID)-1)-1,0,2,1))*F10+FORECAST(F7,OFFSET(EXHAUST_EXHAUST_TEMP,MIN(IFERROR(MATCH(F7,T_GRID,1),1),ROWS(T_GRID)-1)-1,0,2,1),OFFSET(T_GRID,MIN(IFERROR(MATCH(F7,T_GRID,1),1),ROWS(T_GRID)-1)-1,0,2,1))*F11</f>
        <v/>
      </c>
      <c r="G41" s="10">
        <f>ISO_EXHAUST_TEMP_C+FORECAST(G7,OFFSET(T_EXHAUST_TEMP,MIN(IFERROR(MATCH(G7,T_GRID,1),1),ROWS(T_GRID)-1)-1,0,2,1),OFFSET(T_GRID,MIN(IFERROR(MATCH(G7,T_GRID,1),1),ROWS(T_GRID)-1)-1,0,2,1))+FORECAST(G7,OFFSET(RH_EXHAUST_TEMP,MIN(IFERROR(MATCH(G7,T_GRID,1),1),ROWS(T_GRID)-1)-1,0,2,1),OFFSET(T_GRID,MIN(IFERROR(MATCH(G7,T_GRID,1),1),ROWS(T_GRID)-1)-1,0,2,1))*(G9/100-0.6)+FORECAST(G7,OFFSET(INLET_EXHAUST_TEMP,MIN(IFERROR(MATCH(G7,T_GRID,1),1),ROWS(T_GRID)-1)-1,0,2,1),OFFSET(T_GRID,MIN(IFERROR(MATCH(G7,T_GRID,1),1),ROWS(T_GRID)-1)-1,0,2,1))*G10+FORECAST(G7,OFFSET(EXHAUST_EXHAUST_TEMP,MIN(IFERROR(MATCH(G7,T_GRID,1),1),ROWS(T_GRID)-1)-1,0,2,1),OFFSET(T_GRID,MIN(IFERROR(MATCH(G7,T_GRID,1),1),ROWS(T_GRID)-1)-1,0,2,1))*G11</f>
        <v/>
      </c>
      <c r="H41" s="10">
        <f>ISO_EXHAUST_TEMP_C+FORECAST(H7,OFFSET(T_EXHAUST_TEMP,MIN(IFERROR(MATCH(H7,T_GRID,1),1),ROWS(T_GRID)-1)-1,0,2,1),OFFSET(T_GRID,MIN(IFERROR(MATCH(H7,T_GRID,1),1),ROWS(T_GRID)-1)-1,0,2,1))+FORECAST(H7,OFFSET(RH_EXHAUST_TEMP,MIN(IFERROR(MATCH(H7,T_GRID,1),1),ROWS(T_GRID)-1)-1,0,2,1),OFFSET(T_GRID,MIN(IFERROR(MATCH(H7,T_GRID,1),1),ROWS(T_GRID)-1)-1,0,2,1))*(H9/100-0.6)+FORECAST(H7,OFFSET(INLET_EXHAUST_TEMP,MIN(IFERROR(MATCH(H7,T_GRID,1),1),ROWS(T_GRID)-1)-1,0,2,1),OFFSET(T_GRID,MIN(IFERROR(MATCH(H7,T_GRID,1),1),ROWS(T_GRID)-1)-1,0,2,1))*H10+FORECAST(H7,OFFSET(EXHAUST_EXHAUST_TEMP,MIN(IFERROR(MATCH(H7,T_GRID,1),1),ROWS(T_GRID)-1)-1,0,2,1),OFFSET(T_GRID,MIN(IFERROR(MATCH(H7,T_GRID,1),1),ROWS(T_GRID)-1)-1,0,2,1))*H11</f>
        <v/>
      </c>
    </row>
    <row r="43">
      <c r="B43" s="2" t="inlineStr">
        <is>
          <t>Fuel composition changes and part load need the full model (gtperf site, or the RunFullModel macro in gtperf.bas).</t>
        </is>
      </c>
    </row>
  </sheetData>
  <dataValidations count="7">
    <dataValidation sqref="D7:H7" showDropDown="0" showInputMessage="0" showErrorMessage="1" allowBlank="0" errorTitle="Out of range" error="Ambient temperature must be between -20 and 50 °C." type="decimal" operator="between">
      <formula1>-20</formula1>
      <formula2>50</formula2>
    </dataValidation>
    <dataValidation sqref="D8:H8" showDropDown="0" showInputMessage="0" showErrorMessage="1" allowBlank="0" errorTitle="Out of range" error="Site altitude must be between 0 and 3000 m." type="decimal" operator="between">
      <formula1>0</formula1>
      <formula2>3000</formula2>
    </dataValidation>
    <dataValidation sqref="D9:H9" showDropDown="0" showInputMessage="0" showErrorMessage="1" allowBlank="0" errorTitle="Out of range" error="Relative humidity must be between 0 and 100 %." type="decimal" operator="between">
      <formula1>0</formula1>
      <formula2>100</formula2>
    </dataValidation>
    <dataValidation sqref="D10:H10" showDropDown="0" showInputMessage="0" showErrorMessage="1" allowBlank="0" errorTitle="Out of range" error="Inlet pressure loss must be between 0 and 50 mbar." type="decimal" operator="between">
      <formula1>0</formula1>
      <formula2>50</formula2>
    </dataValidation>
    <dataValidation sqref="D11:H11" showDropDown="0" showInputMessage="0" showErrorMessage="1" allowBlank="0" errorTitle="Out of range" error="Exhaust pressure loss must be between 0 and 80 mbar." type="decimal" operator="between">
      <formula1>0</formula1>
      <formula2>80</formula2>
    </dataValidation>
    <dataValidation sqref="D12:H12" showDropDown="0" showInputMessage="0" showErrorMessage="1" allowBlank="0" errorTitle="Out of range" error="Degradation, output must be between 0 and 15 %." type="decimal" operator="between">
      <formula1>0</formula1>
      <formula2>15</formula2>
    </dataValidation>
    <dataValidation sqref="D13:H13" showDropDown="0" showInputMessage="0" showErrorMessage="1" allowBlank="0" errorTitle="Out of range" error="Degradation, heat rate must be between 0 and 15 %." type="decimal" operator="between">
      <formula1>0</formula1>
      <formula2>15</formula2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3" t="inlineStr">
        <is>
          <t>temperature_C</t>
        </is>
      </c>
      <c r="B1" s="3" t="inlineStr">
        <is>
          <t>t_power</t>
        </is>
      </c>
      <c r="C1" s="3" t="inlineStr">
        <is>
          <t>t_heat_rate</t>
        </is>
      </c>
      <c r="D1" s="3" t="inlineStr">
        <is>
          <t>t_exhaust_flow</t>
        </is>
      </c>
      <c r="E1" s="3" t="inlineStr">
        <is>
          <t>t_exhaust_temp</t>
        </is>
      </c>
      <c r="F1" s="3" t="inlineStr">
        <is>
          <t>rh_power</t>
        </is>
      </c>
      <c r="G1" s="3" t="inlineStr">
        <is>
          <t>rh_heat_rate</t>
        </is>
      </c>
      <c r="H1" s="3" t="inlineStr">
        <is>
          <t>rh_exhaust_flow</t>
        </is>
      </c>
      <c r="I1" s="3" t="inlineStr">
        <is>
          <t>rh_exhaust_temp</t>
        </is>
      </c>
      <c r="J1" s="3" t="inlineStr">
        <is>
          <t>inlet_power</t>
        </is>
      </c>
      <c r="K1" s="3" t="inlineStr">
        <is>
          <t>inlet_heat_rate</t>
        </is>
      </c>
      <c r="L1" s="3" t="inlineStr">
        <is>
          <t>inlet_exhaust_flow</t>
        </is>
      </c>
      <c r="M1" s="3" t="inlineStr">
        <is>
          <t>inlet_exhaust_temp</t>
        </is>
      </c>
      <c r="N1" s="3" t="inlineStr">
        <is>
          <t>exhaust_power</t>
        </is>
      </c>
      <c r="O1" s="3" t="inlineStr">
        <is>
          <t>exhaust_heat_rate</t>
        </is>
      </c>
      <c r="P1" s="3" t="inlineStr">
        <is>
          <t>exhaust_exhaust_flow</t>
        </is>
      </c>
      <c r="Q1" s="3" t="inlineStr">
        <is>
          <t>exhaust_exhaust_temp</t>
        </is>
      </c>
      <c r="R1" s="3" t="inlineStr">
        <is>
          <t>control</t>
        </is>
      </c>
    </row>
    <row r="2">
      <c r="A2" t="n">
        <v>-20</v>
      </c>
      <c r="B2" s="14" t="n">
        <v>1.212097329432471</v>
      </c>
      <c r="C2" s="14" t="n">
        <v>0.9417371049535747</v>
      </c>
      <c r="D2" s="14" t="n">
        <v>1.185894787887593</v>
      </c>
      <c r="E2" s="14" t="n">
        <v>-63.21575998382207</v>
      </c>
      <c r="F2" s="14" t="n">
        <v>0.000189921131383774</v>
      </c>
      <c r="G2" s="14" t="n">
        <v>0.0001747295933695943</v>
      </c>
      <c r="H2" s="14" t="n">
        <v>-0.0002593435016833122</v>
      </c>
      <c r="I2" s="14" t="n">
        <v>0.02701613123046324</v>
      </c>
      <c r="J2" s="14" t="n">
        <v>-0.00171712055432759</v>
      </c>
      <c r="K2" s="14" t="n">
        <v>0.0006141319146418641</v>
      </c>
      <c r="L2" s="14" t="n">
        <v>-0.001190167748707101</v>
      </c>
      <c r="M2" s="14" t="n">
        <v>0.2188550985440088</v>
      </c>
      <c r="N2" s="14" t="n">
        <v>-0.000552006951091936</v>
      </c>
      <c r="O2" s="14" t="n">
        <v>0.0006428174770368316</v>
      </c>
      <c r="P2" s="14" t="n">
        <v>4.120848032738782e-07</v>
      </c>
      <c r="Q2" s="14" t="n">
        <v>0.2275014921691445</v>
      </c>
      <c r="R2" t="inlineStr">
        <is>
          <t>gas generator corrected speed</t>
        </is>
      </c>
    </row>
    <row r="3">
      <c r="A3" t="n">
        <v>-15</v>
      </c>
      <c r="B3" s="14" t="n">
        <v>1.225901920331932</v>
      </c>
      <c r="C3" s="14" t="n">
        <v>0.9441548304886096</v>
      </c>
      <c r="D3" s="14" t="n">
        <v>1.174650113677684</v>
      </c>
      <c r="E3" s="14" t="n">
        <v>-47.27497772473828</v>
      </c>
      <c r="F3" s="14" t="n">
        <v>0.000285510363491498</v>
      </c>
      <c r="G3" s="14" t="n">
        <v>0.0002750738751507021</v>
      </c>
      <c r="H3" s="14" t="n">
        <v>-0.0003947609406326594</v>
      </c>
      <c r="I3" s="14" t="n">
        <v>0.04547832921029264</v>
      </c>
      <c r="J3" s="14" t="n">
        <v>-0.001711363208186354</v>
      </c>
      <c r="K3" s="14" t="n">
        <v>0.0006086279479197169</v>
      </c>
      <c r="L3" s="14" t="n">
        <v>-0.00118967557532117</v>
      </c>
      <c r="M3" s="14" t="n">
        <v>0.220728331203361</v>
      </c>
      <c r="N3" s="14" t="n">
        <v>-0.0005475490756730735</v>
      </c>
      <c r="O3" s="14" t="n">
        <v>0.0006383073674975702</v>
      </c>
      <c r="P3" s="14" t="n">
        <v>4.425793644452656e-07</v>
      </c>
      <c r="Q3" s="14" t="n">
        <v>0.2299165794476767</v>
      </c>
      <c r="R3" t="inlineStr">
        <is>
          <t>gas generator corrected speed</t>
        </is>
      </c>
    </row>
    <row r="4">
      <c r="A4" t="n">
        <v>-10</v>
      </c>
      <c r="B4" s="14" t="n">
        <v>1.239341900922081</v>
      </c>
      <c r="C4" s="14" t="n">
        <v>0.9468000769665297</v>
      </c>
      <c r="D4" s="14" t="n">
        <v>1.163690568505592</v>
      </c>
      <c r="E4" s="14" t="n">
        <v>-31.27904191244716</v>
      </c>
      <c r="F4" s="14" t="n">
        <v>0.0004218237198164983</v>
      </c>
      <c r="G4" s="14" t="n">
        <v>0.0004245405739387977</v>
      </c>
      <c r="H4" s="14" t="n">
        <v>-0.0005902515835989226</v>
      </c>
      <c r="I4" s="14" t="n">
        <v>0.07450642227619635</v>
      </c>
      <c r="J4" s="14" t="n">
        <v>-0.001705734114056737</v>
      </c>
      <c r="K4" s="14" t="n">
        <v>0.0006033418579780629</v>
      </c>
      <c r="L4" s="14" t="n">
        <v>-0.001189094216437867</v>
      </c>
      <c r="M4" s="14" t="n">
        <v>0.2225284862147305</v>
      </c>
      <c r="N4" s="14" t="n">
        <v>-0.0005433159128026737</v>
      </c>
      <c r="O4" s="14" t="n">
        <v>0.0006340276435050607</v>
      </c>
      <c r="P4" s="14" t="n">
        <v>4.736801334597733e-07</v>
      </c>
      <c r="Q4" s="14" t="n">
        <v>0.2322717333556602</v>
      </c>
      <c r="R4" t="inlineStr">
        <is>
          <t>gas generator corrected speed</t>
        </is>
      </c>
    </row>
    <row r="5">
      <c r="A5" t="n">
        <v>-5</v>
      </c>
      <c r="B5" s="14" t="n">
        <v>1.212976328187749</v>
      </c>
      <c r="C5" s="14" t="n">
        <v>0.952231679901489</v>
      </c>
      <c r="D5" s="14" t="n">
        <v>1.1408021984244</v>
      </c>
      <c r="E5" s="14" t="n">
        <v>-23.49690751594346</v>
      </c>
      <c r="F5" s="14" t="n">
        <v>0.002072431032358455</v>
      </c>
      <c r="G5" s="14" t="n">
        <v>0.0004740513555447998</v>
      </c>
      <c r="H5" s="14" t="n">
        <v>-0.0003560159825396862</v>
      </c>
      <c r="I5" s="14" t="n">
        <v>0.4420059622935923</v>
      </c>
      <c r="J5" s="14" t="n">
        <v>-0.001790188511238522</v>
      </c>
      <c r="K5" s="14" t="n">
        <v>0.0006108051059315936</v>
      </c>
      <c r="L5" s="14" t="n">
        <v>-0.001205105308054186</v>
      </c>
      <c r="M5" s="14" t="n">
        <v>0.1939469799534549</v>
      </c>
      <c r="N5" s="14" t="n">
        <v>-0.0006530674167267319</v>
      </c>
      <c r="O5" s="14" t="n">
        <v>0.0006357253664098983</v>
      </c>
      <c r="P5" s="14" t="n">
        <v>-4.335591699703342e-05</v>
      </c>
      <c r="Q5" s="14" t="n">
        <v>0.199996420294583</v>
      </c>
      <c r="R5" t="inlineStr">
        <is>
          <t>temperature</t>
        </is>
      </c>
    </row>
    <row r="6">
      <c r="A6" t="n">
        <v>0</v>
      </c>
      <c r="B6" s="14" t="n">
        <v>1.162140002990242</v>
      </c>
      <c r="C6" s="14" t="n">
        <v>0.9615018212083526</v>
      </c>
      <c r="D6" s="14" t="n">
        <v>1.107734420866573</v>
      </c>
      <c r="E6" s="14" t="n">
        <v>-18.37513855312204</v>
      </c>
      <c r="F6" s="14" t="n">
        <v>0.003402588857325272</v>
      </c>
      <c r="G6" s="14" t="n">
        <v>0.0005347569952256938</v>
      </c>
      <c r="H6" s="14" t="n">
        <v>-0.000267677719805966</v>
      </c>
      <c r="I6" s="14" t="n">
        <v>0.5897056182105114</v>
      </c>
      <c r="J6" s="14" t="n">
        <v>-0.001759932918196642</v>
      </c>
      <c r="K6" s="14" t="n">
        <v>0.0006109425794765666</v>
      </c>
      <c r="L6" s="14" t="n">
        <v>-0.001175045167477332</v>
      </c>
      <c r="M6" s="14" t="n">
        <v>0.1914494103415677</v>
      </c>
      <c r="N6" s="14" t="n">
        <v>-0.0006599398860234544</v>
      </c>
      <c r="O6" s="14" t="n">
        <v>0.0006278116158717796</v>
      </c>
      <c r="P6" s="14" t="n">
        <v>-5.844204017256218e-05</v>
      </c>
      <c r="Q6" s="14" t="n">
        <v>0.1949604818463831</v>
      </c>
      <c r="R6" t="inlineStr">
        <is>
          <t>temperature</t>
        </is>
      </c>
    </row>
    <row r="7">
      <c r="A7" t="n">
        <v>5</v>
      </c>
      <c r="B7" s="14" t="n">
        <v>1.106701509976154</v>
      </c>
      <c r="C7" s="14" t="n">
        <v>0.9732602705808414</v>
      </c>
      <c r="D7" s="14" t="n">
        <v>1.071377341166532</v>
      </c>
      <c r="E7" s="14" t="n">
        <v>-12.50488672747463</v>
      </c>
      <c r="F7" s="14" t="n">
        <v>0.005190435713255473</v>
      </c>
      <c r="G7" s="14" t="n">
        <v>0.0006159265061110487</v>
      </c>
      <c r="H7" s="14" t="n">
        <v>-0.0001958865999598064</v>
      </c>
      <c r="I7" s="14" t="n">
        <v>0.7928894242227595</v>
      </c>
      <c r="J7" s="14" t="n">
        <v>-0.001712123534572268</v>
      </c>
      <c r="K7" s="14" t="n">
        <v>0.000606036276299535</v>
      </c>
      <c r="L7" s="14" t="n">
        <v>-0.001132216214020744</v>
      </c>
      <c r="M7" s="14" t="n">
        <v>0.1870274764413125</v>
      </c>
      <c r="N7" s="14" t="n">
        <v>-0.0006563391794443643</v>
      </c>
      <c r="O7" s="14" t="n">
        <v>0.0006155948041738113</v>
      </c>
      <c r="P7" s="14" t="n">
        <v>-6.706228063020687e-05</v>
      </c>
      <c r="Q7" s="14" t="n">
        <v>0.1883131605385734</v>
      </c>
      <c r="R7" t="inlineStr">
        <is>
          <t>temperature</t>
        </is>
      </c>
    </row>
    <row r="8">
      <c r="A8" t="n">
        <v>10</v>
      </c>
      <c r="B8" s="14" t="n">
        <v>1.051555194239657</v>
      </c>
      <c r="C8" s="14" t="n">
        <v>0.9864146291027306</v>
      </c>
      <c r="D8" s="14" t="n">
        <v>1.034773760588782</v>
      </c>
      <c r="E8" s="14" t="n">
        <v>-6.27625124283918</v>
      </c>
      <c r="F8" s="14" t="n">
        <v>0.007480521204586399</v>
      </c>
      <c r="G8" s="14" t="n">
        <v>0.0007532644651522868</v>
      </c>
      <c r="H8" s="14" t="n">
        <v>-0.0002148506930969151</v>
      </c>
      <c r="I8" s="14" t="n">
        <v>1.077803391001263</v>
      </c>
      <c r="J8" s="14" t="n">
        <v>-0.001655010062419213</v>
      </c>
      <c r="K8" s="14" t="n">
        <v>0.0005977520548465585</v>
      </c>
      <c r="L8" s="14" t="n">
        <v>-0.001083283509312694</v>
      </c>
      <c r="M8" s="14" t="n">
        <v>0.1814874344207624</v>
      </c>
      <c r="N8" s="14" t="n">
        <v>-0.0006444838304763348</v>
      </c>
      <c r="O8" s="14" t="n">
        <v>0.0006006154070857284</v>
      </c>
      <c r="P8" s="14" t="n">
        <v>-6.995605619833103e-05</v>
      </c>
      <c r="Q8" s="14" t="n">
        <v>0.1808133061540366</v>
      </c>
      <c r="R8" t="inlineStr">
        <is>
          <t>temperature</t>
        </is>
      </c>
    </row>
    <row r="9">
      <c r="A9" t="n">
        <v>15</v>
      </c>
      <c r="B9" s="14" t="n">
        <v>1.000000000000001</v>
      </c>
      <c r="C9" s="14" t="n">
        <v>0.9999999999999994</v>
      </c>
      <c r="D9" s="14" t="n">
        <v>1</v>
      </c>
      <c r="E9" s="14" t="n">
        <v>1.13686837721616e-13</v>
      </c>
      <c r="F9" s="14" t="n">
        <v>0.01030306336408385</v>
      </c>
      <c r="G9" s="14" t="n">
        <v>0.001003884569025062</v>
      </c>
      <c r="H9" s="14" t="n">
        <v>-0.0004296140430416784</v>
      </c>
      <c r="I9" s="14" t="n">
        <v>1.480001291751213</v>
      </c>
      <c r="J9" s="14" t="n">
        <v>-0.001594740276336782</v>
      </c>
      <c r="K9" s="14" t="n">
        <v>0.0005874078026104914</v>
      </c>
      <c r="L9" s="14" t="n">
        <v>-0.001033138216543966</v>
      </c>
      <c r="M9" s="14" t="n">
        <v>0.1754505536973397</v>
      </c>
      <c r="N9" s="14" t="n">
        <v>-0.0006265276821636827</v>
      </c>
      <c r="O9" s="14" t="n">
        <v>0.0005840468008178247</v>
      </c>
      <c r="P9" s="14" t="n">
        <v>-6.815953937851064e-05</v>
      </c>
      <c r="Q9" s="14" t="n">
        <v>0.1730244662981568</v>
      </c>
      <c r="R9" t="inlineStr">
        <is>
          <t>temperature</t>
        </is>
      </c>
    </row>
    <row r="10">
      <c r="A10" t="n">
        <v>20</v>
      </c>
      <c r="B10" s="14" t="n">
        <v>0.9536854314126401</v>
      </c>
      <c r="C10" s="14" t="n">
        <v>1.013322431137116</v>
      </c>
      <c r="D10" s="14" t="n">
        <v>0.968101142639526</v>
      </c>
      <c r="E10" s="14" t="n">
        <v>6.130409711943457</v>
      </c>
      <c r="F10" s="14" t="n">
        <v>0.01388544312751843</v>
      </c>
      <c r="G10" s="14" t="n">
        <v>0.001370941864508188</v>
      </c>
      <c r="H10" s="14" t="n">
        <v>-0.0008424785922547998</v>
      </c>
      <c r="I10" s="14" t="n">
        <v>2.022135293288064</v>
      </c>
      <c r="J10" s="14" t="n">
        <v>-0.001538191763247129</v>
      </c>
      <c r="K10" s="14" t="n">
        <v>0.0005770825850313272</v>
      </c>
      <c r="L10" s="14" t="n">
        <v>-0.0009866893037224136</v>
      </c>
      <c r="M10" s="14" t="n">
        <v>0.1696612269751313</v>
      </c>
      <c r="N10" s="14" t="n">
        <v>-0.0006076505898147885</v>
      </c>
      <c r="O10" s="14" t="n">
        <v>0.0005679173185544292</v>
      </c>
      <c r="P10" s="14" t="n">
        <v>-6.49729975907108e-05</v>
      </c>
      <c r="Q10" s="14" t="n">
        <v>0.1656553575667795</v>
      </c>
      <c r="R10" t="inlineStr">
        <is>
          <t>temperature</t>
        </is>
      </c>
    </row>
    <row r="11">
      <c r="A11" t="n">
        <v>25</v>
      </c>
      <c r="B11" s="14" t="n">
        <v>0.9116788741121965</v>
      </c>
      <c r="C11" s="14" t="n">
        <v>1.026566023638844</v>
      </c>
      <c r="D11" s="14" t="n">
        <v>0.9384457809779646</v>
      </c>
      <c r="E11" s="14" t="n">
        <v>12.19677988366993</v>
      </c>
      <c r="F11" s="14" t="n">
        <v>0.01879301683888076</v>
      </c>
      <c r="G11" s="14" t="n">
        <v>0.001739974313207101</v>
      </c>
      <c r="H11" s="14" t="n">
        <v>-0.001276117194062953</v>
      </c>
      <c r="I11" s="14" t="n">
        <v>2.697482549130731</v>
      </c>
      <c r="J11" s="14" t="n">
        <v>-0.00148951348533378</v>
      </c>
      <c r="K11" s="14" t="n">
        <v>0.0005685871447145904</v>
      </c>
      <c r="L11" s="14" t="n">
        <v>-0.0009463818876066805</v>
      </c>
      <c r="M11" s="14" t="n">
        <v>0.1646006928839256</v>
      </c>
      <c r="N11" s="14" t="n">
        <v>-0.000593122661945544</v>
      </c>
      <c r="O11" s="14" t="n">
        <v>0.000553972707102508</v>
      </c>
      <c r="P11" s="14" t="n">
        <v>-6.407678336951525e-05</v>
      </c>
      <c r="Q11" s="14" t="n">
        <v>0.1591526918186764</v>
      </c>
      <c r="R11" t="inlineStr">
        <is>
          <t>temperature</t>
        </is>
      </c>
    </row>
    <row r="12">
      <c r="A12" t="n">
        <v>30</v>
      </c>
      <c r="B12" s="14" t="n">
        <v>0.8726491555115999</v>
      </c>
      <c r="C12" s="14" t="n">
        <v>1.040197703719112</v>
      </c>
      <c r="D12" s="14" t="n">
        <v>0.9101169472256658</v>
      </c>
      <c r="E12" s="14" t="n">
        <v>18.35474676112051</v>
      </c>
      <c r="F12" s="14" t="n">
        <v>0.02552565786988288</v>
      </c>
      <c r="G12" s="14" t="n">
        <v>0.002024128583872154</v>
      </c>
      <c r="H12" s="14" t="n">
        <v>-0.001641574095792873</v>
      </c>
      <c r="I12" s="14" t="n">
        <v>3.514875222551079</v>
      </c>
      <c r="J12" s="14" t="n">
        <v>-0.001446353273168094</v>
      </c>
      <c r="K12" s="14" t="n">
        <v>0.0005614014526621935</v>
      </c>
      <c r="L12" s="14" t="n">
        <v>-0.0009103553795922825</v>
      </c>
      <c r="M12" s="14" t="n">
        <v>0.1600253468530582</v>
      </c>
      <c r="N12" s="14" t="n">
        <v>-0.0005822964053629346</v>
      </c>
      <c r="O12" s="14" t="n">
        <v>0.0005417326797683475</v>
      </c>
      <c r="P12" s="14" t="n">
        <v>-6.527990722394466e-05</v>
      </c>
      <c r="Q12" s="14" t="n">
        <v>0.1532829770020817</v>
      </c>
      <c r="R12" t="inlineStr">
        <is>
          <t>temperature</t>
        </is>
      </c>
    </row>
    <row r="13">
      <c r="A13" t="n">
        <v>35</v>
      </c>
      <c r="B13" s="14" t="n">
        <v>0.8355959937664581</v>
      </c>
      <c r="C13" s="14" t="n">
        <v>1.054692102762172</v>
      </c>
      <c r="D13" s="14" t="n">
        <v>0.8823899642537609</v>
      </c>
      <c r="E13" s="14" t="n">
        <v>24.75002715587414</v>
      </c>
      <c r="F13" s="14" t="n">
        <v>0.03482833889981082</v>
      </c>
      <c r="G13" s="14" t="n">
        <v>0.002042454854440197</v>
      </c>
      <c r="H13" s="14" t="n">
        <v>-0.001742816518244103</v>
      </c>
      <c r="I13" s="14" t="n">
        <v>4.464380322816055</v>
      </c>
      <c r="J13" s="14" t="n">
        <v>-0.001407315301703855</v>
      </c>
      <c r="K13" s="14" t="n">
        <v>0.0005552693240110834</v>
      </c>
      <c r="L13" s="14" t="n">
        <v>-0.0008774576824767668</v>
      </c>
      <c r="M13" s="14" t="n">
        <v>0.1557869173917084</v>
      </c>
      <c r="N13" s="14" t="n">
        <v>-0.0005750841109755374</v>
      </c>
      <c r="O13" s="14" t="n">
        <v>0.0005309891070879068</v>
      </c>
      <c r="P13" s="14" t="n">
        <v>-6.86978375142964e-05</v>
      </c>
      <c r="Q13" s="14" t="n">
        <v>0.1479101247068638</v>
      </c>
      <c r="R13" t="inlineStr">
        <is>
          <t>temperature</t>
        </is>
      </c>
    </row>
    <row r="14">
      <c r="A14" t="n">
        <v>40</v>
      </c>
      <c r="B14" s="14" t="n">
        <v>0.7996664020916082</v>
      </c>
      <c r="C14" s="14" t="n">
        <v>1.070597054013051</v>
      </c>
      <c r="D14" s="14" t="n">
        <v>0.8546189152860467</v>
      </c>
      <c r="E14" s="14" t="n">
        <v>31.53579488874504</v>
      </c>
      <c r="F14" s="14" t="n">
        <v>0.04785844709982542</v>
      </c>
      <c r="G14" s="14" t="n">
        <v>0.001432690660903316</v>
      </c>
      <c r="H14" s="14" t="n">
        <v>-0.001180044174686553</v>
      </c>
      <c r="I14" s="14" t="n">
        <v>5.496453570335879</v>
      </c>
      <c r="J14" s="14" t="n">
        <v>-0.001371840218466992</v>
      </c>
      <c r="K14" s="14" t="n">
        <v>0.0005502224361003696</v>
      </c>
      <c r="L14" s="14" t="n">
        <v>-0.0008471030388114345</v>
      </c>
      <c r="M14" s="14" t="n">
        <v>0.1518229267625884</v>
      </c>
      <c r="N14" s="14" t="n">
        <v>-0.0005720238260684809</v>
      </c>
      <c r="O14" s="14" t="n">
        <v>0.0005218215150912366</v>
      </c>
      <c r="P14" s="14" t="n">
        <v>-7.480559273275937e-05</v>
      </c>
      <c r="Q14" s="14" t="n">
        <v>0.1429834004160421</v>
      </c>
      <c r="R14" t="inlineStr">
        <is>
          <t>temperature</t>
        </is>
      </c>
    </row>
    <row r="15">
      <c r="A15" t="n">
        <v>45</v>
      </c>
      <c r="B15" s="14" t="n">
        <v>0.7642836934559698</v>
      </c>
      <c r="C15" s="14" t="n">
        <v>1.088463559156613</v>
      </c>
      <c r="D15" s="14" t="n">
        <v>0.8263273704487484</v>
      </c>
      <c r="E15" s="14" t="n">
        <v>38.85197316078029</v>
      </c>
      <c r="F15" s="14" t="n">
        <v>0.0651647828172571</v>
      </c>
      <c r="G15" s="14" t="n">
        <v>4.782515702069531e-05</v>
      </c>
      <c r="H15" s="14" t="n">
        <v>2.475489422431432e-06</v>
      </c>
      <c r="I15" s="14" t="n">
        <v>6.635336379773852</v>
      </c>
      <c r="J15" s="14" t="n">
        <v>-0.001336511079546952</v>
      </c>
      <c r="K15" s="14" t="n">
        <v>0.000545047881461863</v>
      </c>
      <c r="L15" s="14" t="n">
        <v>-0.0008170216504841659</v>
      </c>
      <c r="M15" s="14" t="n">
        <v>0.1477478830025461</v>
      </c>
      <c r="N15" s="14" t="n">
        <v>-0.0005703745227394547</v>
      </c>
      <c r="O15" s="14" t="n">
        <v>0.0005130381641906144</v>
      </c>
      <c r="P15" s="14" t="n">
        <v>-8.197086231601679e-05</v>
      </c>
      <c r="Q15" s="14" t="n">
        <v>0.1381262823509678</v>
      </c>
      <c r="R15" t="inlineStr">
        <is>
          <t>temperature</t>
        </is>
      </c>
    </row>
    <row r="16">
      <c r="A16" t="n">
        <v>50</v>
      </c>
      <c r="B16" s="14" t="n">
        <v>0.7300827843602042</v>
      </c>
      <c r="C16" s="14" t="n">
        <v>1.108242071619398</v>
      </c>
      <c r="D16" s="14" t="n">
        <v>0.7978320043038403</v>
      </c>
      <c r="E16" s="14" t="n">
        <v>46.67931371908094</v>
      </c>
      <c r="F16" s="14" t="n">
        <v>0.08663815420074719</v>
      </c>
      <c r="G16" s="14" t="n">
        <v>-0.001977490806408816</v>
      </c>
      <c r="H16" s="14" t="n">
        <v>0.001310462514362485</v>
      </c>
      <c r="I16" s="14" t="n">
        <v>7.990709746997974</v>
      </c>
      <c r="J16" s="14" t="n">
        <v>-0.001297244670275575</v>
      </c>
      <c r="K16" s="14" t="n">
        <v>0.0005378405163906668</v>
      </c>
      <c r="L16" s="14" t="n">
        <v>-0.0007849228166387277</v>
      </c>
      <c r="M16" s="14" t="n">
        <v>0.1430976903829446</v>
      </c>
      <c r="N16" s="14" t="n">
        <v>-0.0005657438355343138</v>
      </c>
      <c r="O16" s="14" t="n">
        <v>0.0005028639289050785</v>
      </c>
      <c r="P16" s="14" t="n">
        <v>-8.743496721456604e-05</v>
      </c>
      <c r="Q16" s="14" t="n">
        <v>0.1329079477731011</v>
      </c>
      <c r="R16" t="inlineStr">
        <is>
          <t>temperature</t>
        </is>
      </c>
    </row>
    <row r="18">
      <c r="A18" s="2" t="inlineStr">
        <is>
          <t>Ratios to ISO for t_*; exhaust temperature columns are kelvin. rh_* per unit RH about 60%, inlet_* per mbar of inlet loss, exhaust_* per mbar of exhaust loss, all at sea level.</t>
        </is>
      </c>
    </row>
    <row r="20">
      <c r="A20" s="15" t="inlineStr">
        <is>
          <t>power_MW</t>
        </is>
      </c>
      <c r="B20" s="15" t="inlineStr">
        <is>
          <t>heat_rate</t>
        </is>
      </c>
      <c r="C20" s="15" t="inlineStr">
        <is>
          <t>exhaust_flow</t>
        </is>
      </c>
      <c r="D20" s="15" t="inlineStr">
        <is>
          <t>exhaust_temp_C</t>
        </is>
      </c>
    </row>
    <row r="21">
      <c r="A21" t="n">
        <v>12.88868202588779</v>
      </c>
      <c r="B21" t="n">
        <v>10297.96992889297</v>
      </c>
      <c r="C21" t="n">
        <v>39.97369050857318</v>
      </c>
      <c r="D21" t="n">
        <v>550.4464565636417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14" customWidth="1" min="4" max="4"/>
    <col width="14" customWidth="1" min="5" max="5"/>
    <col width="14" customWidth="1" min="6" max="6"/>
  </cols>
  <sheetData>
    <row r="1">
      <c r="B1" s="16" t="inlineStr">
        <is>
          <t>Workbook formulas against the full gtperf model</t>
        </is>
      </c>
    </row>
    <row r="2">
      <c r="B2" s="2" t="inlineStr">
        <is>
          <t>Full-model values were computed when the workbook was generated, for the cases as generated. If you change a case on the Site tool sheet the error column no longer applies.</t>
        </is>
      </c>
    </row>
    <row r="4">
      <c r="B4" s="3" t="inlineStr">
        <is>
          <t>Case</t>
        </is>
      </c>
      <c r="C4" s="3" t="inlineStr">
        <is>
          <t>Quantity</t>
        </is>
      </c>
      <c r="D4" s="3" t="inlineStr">
        <is>
          <t>Full model</t>
        </is>
      </c>
      <c r="E4" s="3" t="inlineStr">
        <is>
          <t>Workbook</t>
        </is>
      </c>
      <c r="F4" s="3" t="inlineStr">
        <is>
          <t>Error</t>
        </is>
      </c>
    </row>
    <row r="5">
      <c r="B5" t="inlineStr">
        <is>
          <t>ISO</t>
        </is>
      </c>
      <c r="C5" t="inlineStr">
        <is>
          <t>Output, MW</t>
        </is>
      </c>
      <c r="D5" s="17" t="n">
        <v>12.88868202588782</v>
      </c>
      <c r="E5" s="17">
        <f>'Site tool'!D36</f>
        <v/>
      </c>
      <c r="F5" s="18">
        <f>E5/D5-1</f>
        <v/>
      </c>
    </row>
    <row r="6">
      <c r="B6" t="inlineStr">
        <is>
          <t>ISO</t>
        </is>
      </c>
      <c r="C6" t="inlineStr">
        <is>
          <t>Heat rate, kJ/kWh</t>
        </is>
      </c>
      <c r="D6" s="19" t="n">
        <v>10297.96992889294</v>
      </c>
      <c r="E6" s="19">
        <f>'Site tool'!D37</f>
        <v/>
      </c>
      <c r="F6" s="18">
        <f>E6/D6-1</f>
        <v/>
      </c>
    </row>
    <row r="7">
      <c r="B7" t="inlineStr">
        <is>
          <t>ISO</t>
        </is>
      </c>
      <c r="C7" t="inlineStr">
        <is>
          <t>Exhaust flow, kg/s</t>
        </is>
      </c>
      <c r="D7" s="17" t="n">
        <v>39.97369050857321</v>
      </c>
      <c r="E7" s="17">
        <f>'Site tool'!D40</f>
        <v/>
      </c>
      <c r="F7" s="18">
        <f>E7/D7-1</f>
        <v/>
      </c>
    </row>
    <row r="8">
      <c r="B8" t="inlineStr">
        <is>
          <t>ISO</t>
        </is>
      </c>
      <c r="C8" t="inlineStr">
        <is>
          <t>Exhaust temperature, °C</t>
        </is>
      </c>
      <c r="D8" s="20" t="n">
        <v>550.4464565636417</v>
      </c>
      <c r="E8" s="20">
        <f>'Site tool'!D41</f>
        <v/>
      </c>
      <c r="F8" s="21">
        <f>E8-D8</f>
        <v/>
      </c>
    </row>
    <row r="9">
      <c r="B9" t="inlineStr">
        <is>
          <t>Temperate, sea level</t>
        </is>
      </c>
      <c r="C9" t="inlineStr">
        <is>
          <t>Output, MW</t>
        </is>
      </c>
      <c r="D9" s="17" t="n">
        <v>13.21653842270864</v>
      </c>
      <c r="E9" s="17">
        <f>'Site tool'!E36</f>
        <v/>
      </c>
      <c r="F9" s="18">
        <f>E9/D9-1</f>
        <v/>
      </c>
    </row>
    <row r="10">
      <c r="B10" t="inlineStr">
        <is>
          <t>Temperate, sea level</t>
        </is>
      </c>
      <c r="C10" t="inlineStr">
        <is>
          <t>Heat rate, kJ/kWh</t>
        </is>
      </c>
      <c r="D10" s="19" t="n">
        <v>10299.91541005129</v>
      </c>
      <c r="E10" s="19">
        <f>'Site tool'!E37</f>
        <v/>
      </c>
      <c r="F10" s="18">
        <f>E10/D10-1</f>
        <v/>
      </c>
    </row>
    <row r="11">
      <c r="B11" t="inlineStr">
        <is>
          <t>Temperate, sea level</t>
        </is>
      </c>
      <c r="C11" t="inlineStr">
        <is>
          <t>Exhaust flow, kg/s</t>
        </is>
      </c>
      <c r="D11" s="17" t="n">
        <v>40.81402733007079</v>
      </c>
      <c r="E11" s="17">
        <f>'Site tool'!E40</f>
        <v/>
      </c>
      <c r="F11" s="18">
        <f>E11/D11-1</f>
        <v/>
      </c>
    </row>
    <row r="12">
      <c r="B12" t="inlineStr">
        <is>
          <t>Temperate, sea level</t>
        </is>
      </c>
      <c r="C12" t="inlineStr">
        <is>
          <t>Exhaust temperature, °C</t>
        </is>
      </c>
      <c r="D12" s="20" t="n">
        <v>548.5505142378677</v>
      </c>
      <c r="E12" s="20">
        <f>'Site tool'!E41</f>
        <v/>
      </c>
      <c r="F12" s="21">
        <f>E12-D12</f>
        <v/>
      </c>
    </row>
    <row r="13">
      <c r="B13" t="inlineStr">
        <is>
          <t>Hot desert</t>
        </is>
      </c>
      <c r="C13" t="inlineStr">
        <is>
          <t>Output, MW</t>
        </is>
      </c>
      <c r="D13" s="17" t="n">
        <v>9.00470389973502</v>
      </c>
      <c r="E13" s="17">
        <f>'Site tool'!F36</f>
        <v/>
      </c>
      <c r="F13" s="18">
        <f>E13/D13-1</f>
        <v/>
      </c>
    </row>
    <row r="14">
      <c r="B14" t="inlineStr">
        <is>
          <t>Hot desert</t>
        </is>
      </c>
      <c r="C14" t="inlineStr">
        <is>
          <t>Heat rate, kJ/kWh</t>
        </is>
      </c>
      <c r="D14" s="19" t="n">
        <v>11416.3237665638</v>
      </c>
      <c r="E14" s="19">
        <f>'Site tool'!F37</f>
        <v/>
      </c>
      <c r="F14" s="18">
        <f>E14/D14-1</f>
        <v/>
      </c>
    </row>
    <row r="15">
      <c r="B15" t="inlineStr">
        <is>
          <t>Hot desert</t>
        </is>
      </c>
      <c r="C15" t="inlineStr">
        <is>
          <t>Exhaust flow, kg/s</t>
        </is>
      </c>
      <c r="D15" s="17" t="n">
        <v>31.54778491741571</v>
      </c>
      <c r="E15" s="17">
        <f>'Site tool'!F40</f>
        <v/>
      </c>
      <c r="F15" s="18">
        <f>E15/D15-1</f>
        <v/>
      </c>
    </row>
    <row r="16">
      <c r="B16" t="inlineStr">
        <is>
          <t>Hot desert</t>
        </is>
      </c>
      <c r="C16" t="inlineStr">
        <is>
          <t>Exhaust temperature, °C</t>
        </is>
      </c>
      <c r="D16" s="20" t="n">
        <v>591.6506592619655</v>
      </c>
      <c r="E16" s="20">
        <f>'Site tool'!F41</f>
        <v/>
      </c>
      <c r="F16" s="21">
        <f>E16-D16</f>
        <v/>
      </c>
    </row>
    <row r="17">
      <c r="B17" t="inlineStr">
        <is>
          <t>Tropical coast</t>
        </is>
      </c>
      <c r="C17" t="inlineStr">
        <is>
          <t>Output, MW</t>
        </is>
      </c>
      <c r="D17" s="17" t="n">
        <v>10.86710387157749</v>
      </c>
      <c r="E17" s="17">
        <f>'Site tool'!G36</f>
        <v/>
      </c>
      <c r="F17" s="18">
        <f>E17/D17-1</f>
        <v/>
      </c>
    </row>
    <row r="18">
      <c r="B18" t="inlineStr">
        <is>
          <t>Tropical coast</t>
        </is>
      </c>
      <c r="C18" t="inlineStr">
        <is>
          <t>Heat rate, kJ/kWh</t>
        </is>
      </c>
      <c r="D18" s="19" t="n">
        <v>10939.78049297851</v>
      </c>
      <c r="E18" s="19">
        <f>'Site tool'!G37</f>
        <v/>
      </c>
      <c r="F18" s="18">
        <f>E18/D18-1</f>
        <v/>
      </c>
    </row>
    <row r="19">
      <c r="B19" t="inlineStr">
        <is>
          <t>Tropical coast</t>
        </is>
      </c>
      <c r="C19" t="inlineStr">
        <is>
          <t>Exhaust flow, kg/s</t>
        </is>
      </c>
      <c r="D19" s="17" t="n">
        <v>35.5721193768031</v>
      </c>
      <c r="E19" s="17">
        <f>'Site tool'!G40</f>
        <v/>
      </c>
      <c r="F19" s="18">
        <f>E19/D19-1</f>
        <v/>
      </c>
    </row>
    <row r="20">
      <c r="B20" t="inlineStr">
        <is>
          <t>Tropical coast</t>
        </is>
      </c>
      <c r="C20" t="inlineStr">
        <is>
          <t>Exhaust temperature, °C</t>
        </is>
      </c>
      <c r="D20" s="20" t="n">
        <v>576.5609591323389</v>
      </c>
      <c r="E20" s="20">
        <f>'Site tool'!G41</f>
        <v/>
      </c>
      <c r="F20" s="21">
        <f>E20-D20</f>
        <v/>
      </c>
    </row>
    <row r="21">
      <c r="B21" t="inlineStr">
        <is>
          <t>Cold, elevated</t>
        </is>
      </c>
      <c r="C21" t="inlineStr">
        <is>
          <t>Output, MW</t>
        </is>
      </c>
      <c r="D21" s="17" t="n">
        <v>12.77989960557742</v>
      </c>
      <c r="E21" s="17">
        <f>'Site tool'!H36</f>
        <v/>
      </c>
      <c r="F21" s="18">
        <f>E21/D21-1</f>
        <v/>
      </c>
    </row>
    <row r="22">
      <c r="B22" t="inlineStr">
        <is>
          <t>Cold, elevated</t>
        </is>
      </c>
      <c r="C22" t="inlineStr">
        <is>
          <t>Heat rate, kJ/kWh</t>
        </is>
      </c>
      <c r="D22" s="19" t="n">
        <v>9989.268169034191</v>
      </c>
      <c r="E22" s="19">
        <f>'Site tool'!H37</f>
        <v/>
      </c>
      <c r="F22" s="18">
        <f>E22/D22-1</f>
        <v/>
      </c>
    </row>
    <row r="23">
      <c r="B23" t="inlineStr">
        <is>
          <t>Cold, elevated</t>
        </is>
      </c>
      <c r="C23" t="inlineStr">
        <is>
          <t>Exhaust flow, kg/s</t>
        </is>
      </c>
      <c r="D23" s="17" t="n">
        <v>38.44515474907153</v>
      </c>
      <c r="E23" s="17">
        <f>'Site tool'!H40</f>
        <v/>
      </c>
      <c r="F23" s="18">
        <f>E23/D23-1</f>
        <v/>
      </c>
    </row>
    <row r="24">
      <c r="B24" t="inlineStr">
        <is>
          <t>Cold, elevated</t>
        </is>
      </c>
      <c r="C24" t="inlineStr">
        <is>
          <t>Exhaust temperature, °C</t>
        </is>
      </c>
      <c r="D24" s="20" t="n">
        <v>524.4320313567752</v>
      </c>
      <c r="E24" s="20">
        <f>'Site tool'!H41</f>
        <v/>
      </c>
      <c r="F24" s="21">
        <f>E24-D24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gtperf site performance tool</t>
        </is>
      </c>
    </row>
    <row r="2">
      <c r="A2" s="23" t="inlineStr">
        <is>
          <t xml:space="preserve">Engine: SGT-400 13 MW (public datasheet). </t>
        </is>
      </c>
    </row>
    <row r="3">
      <c r="A3" s="23" t="inlineStr"/>
    </row>
    <row r="4">
      <c r="A4" s="24" t="inlineStr">
        <is>
          <t>Method</t>
        </is>
      </c>
    </row>
    <row r="5">
      <c r="A5" s="23" t="inlineStr">
        <is>
          <t>The Tables sheet holds corrections computed from the calibrated gtperf off-design model at sea level, every 5 °C from -20 to 50 °C:</t>
        </is>
      </c>
    </row>
    <row r="6">
      <c r="A6" s="23" t="inlineStr">
        <is>
          <t xml:space="preserve">  t_*: output, heat rate and exhaust flow as ratios to ISO, exhaust temperature as a change in K.</t>
        </is>
      </c>
    </row>
    <row r="7">
      <c r="A7" s="23" t="inlineStr">
        <is>
          <t xml:space="preserve">  rh_*, inlet_*, exhaust_*: linear sensitivities to humidity and to inlet and exhaust pressure loss.</t>
        </is>
      </c>
    </row>
    <row r="8">
      <c r="A8" s="23" t="inlineStr">
        <is>
          <t>Altitude is applied as the ISA pressure ratio delta (output and flow scale with delta, heat rate and exhaust temperature do not), which is exact for dry air by similarity.</t>
        </is>
      </c>
    </row>
    <row r="9">
      <c r="A9" s="23" t="inlineStr">
        <is>
          <t>Losses are entered at rated flow. The model scales them with dynamic head, which falls with ambient pressure at altitude, so they need no altitude correction.</t>
        </is>
      </c>
    </row>
    <row r="10">
      <c r="A10" s="23" t="inlineStr">
        <is>
          <t>Effects are applied in a fixed order and multiplied, matching gtperf.site.site_performance.</t>
        </is>
      </c>
    </row>
    <row r="11">
      <c r="A11" s="23" t="inlineStr"/>
    </row>
    <row r="12">
      <c r="A12" s="24" t="inlineStr">
        <is>
          <t>Limits</t>
        </is>
      </c>
    </row>
    <row r="13">
      <c r="A13" s="23" t="inlineStr">
        <is>
          <t>Base load, natural gas as calibrated, new and clean unless degradation is entered. Fuel changes, part load and transient behaviour need the full model.</t>
        </is>
      </c>
    </row>
    <row r="14">
      <c r="A14" s="23" t="inlineStr"/>
    </row>
    <row r="15">
      <c r="A15" s="24" t="inlineStr">
        <is>
          <t>Regenerating</t>
        </is>
      </c>
    </row>
    <row r="16">
      <c r="A16" s="25" t="inlineStr">
        <is>
          <t>gtperf excel examples/sgt400_13mw.toml gtperf_site_tool.xlsx</t>
        </is>
      </c>
    </row>
    <row r="17">
      <c r="A17" s="23" t="inlineStr"/>
    </row>
    <row r="18">
      <c r="A18" s="24" t="inlineStr">
        <is>
          <t>VBA module (optional)</t>
        </is>
      </c>
    </row>
    <row r="19">
      <c r="A19" s="23" t="inlineStr">
        <is>
          <t>excel/gtperf.bas adds worksheet functions (GT_INTERP, GT_ISA_PRESSURE, GT_SITE_POWER and others) and a RunFullModel macro that sends each case to the Python model and writes the results under the sheet. Import it with Alt+F11, File &gt; Import File, then save as .xlsm.</t>
        </is>
      </c>
    </row>
    <row r="20">
      <c r="A20" s="23" t="inlineStr"/>
    </row>
    <row r="21">
      <c r="A21" s="26" t="inlineStr">
        <is>
          <t>All engine data are from public datasheets or synthetic. Not for commercial use.</t>
        </is>
      </c>
    </row>
    <row r="22">
      <c r="A22" s="23" t="inlineStr"/>
    </row>
    <row r="23">
      <c r="A23" s="24" t="inlineStr">
        <is>
          <t>Settings for RunFullModel</t>
        </is>
      </c>
    </row>
    <row r="24">
      <c r="A24" s="6" t="inlineStr">
        <is>
          <t>gtperf command</t>
        </is>
      </c>
    </row>
    <row r="25">
      <c r="A25" s="27" t="inlineStr">
        <is>
          <t>gtperf</t>
        </is>
      </c>
    </row>
    <row r="26">
      <c r="A26" s="6" t="inlineStr">
        <is>
          <t>Datasheet file</t>
        </is>
      </c>
    </row>
    <row r="27">
      <c r="A27" s="27" t="inlineStr">
        <is>
          <t>/home/claude/gtperf/examples/sgt400_13mw.toml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gtperf</dc:creator>
  <dc:title xmlns:dc="http://purl.org/dc/elements/1.1/">gtperf site performance: SGT-400 13 MW (public datasheet)</dc:title>
  <dcterms:created xmlns:dcterms="http://purl.org/dc/terms/" xmlns:xsi="http://www.w3.org/2001/XMLSchema-instance" xsi:type="dcterms:W3CDTF">2026-10-19T12:07:41Z</dcterms:created>
  <dcterms:modified xmlns:dcterms="http://purl.org/dc/terms/" xmlns:xsi="http://www.w3.org/2001/XMLSchema-instance" xsi:type="dcterms:W3CDTF">2026-10-19T12:07:41Z</dcterms:modified>
</cp:coreProperties>
</file>